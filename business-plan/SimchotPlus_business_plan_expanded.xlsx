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מבוא" sheetId="1" state="visible" r:id="rId3"/>
    <sheet name="📊 סקר שוק - מתחרים" sheetId="2" state="visible" r:id="rId4"/>
    <sheet name="🏛️ אולמות - רשימה" sheetId="3" state="visible" r:id="rId5"/>
    <sheet name="📈 נתוני שוק" sheetId="4" state="visible" r:id="rId6"/>
    <sheet name="📊 מגזרים וסכומי מתנות" sheetId="5" state="visible" r:id="rId7"/>
    <sheet name="👥 סקר לקוחות" sheetId="6" state="visible" r:id="rId8"/>
    <sheet name="🏢 סקר אולמות B2B" sheetId="7" state="visible" r:id="rId9"/>
    <sheet name="💼 תוכנית עסקית" sheetId="8" state="visible" r:id="rId10"/>
    <sheet name="💰 רווח והפסד" sheetId="9" state="visible" r:id="rId11"/>
    <sheet name="📉 ניתוח עמדה" sheetId="10" state="visible" r:id="rId12"/>
    <sheet name="🗓️ תחזית 7 שנים" sheetId="11" state="visible" r:id="rId13"/>
    <sheet name="💡 רעיונות וחדשנות" sheetId="12" state="visible" r:id="rId14"/>
    <sheet name="🖥️ ממשק והרחבות" sheetId="13" state="visible" r:id="rId15"/>
    <sheet name="🧭 תוכנית עבודה" sheetId="14" state="visible" r:id="rId16"/>
    <sheet name="🔗 מקורות" sheetId="15" state="visible" r:id="rId17"/>
  </sheets>
  <definedNames>
    <definedName function="false" hidden="true" localSheetId="2" name="_xlnm._FilterDatabase" vbProcedure="false">'🏛️ אולמות - רשימה'!$B$16:$M$358</definedName>
    <definedName function="false" hidden="true" localSheetId="6" name="_xlnm._FilterDatabase" vbProcedure="false">'🏢 סקר אולמות B2B'!$B$5:$E$13</definedName>
    <definedName function="false" hidden="true" localSheetId="5" name="_xlnm._FilterDatabase" vbProcedure="false">'👥 סקר לקוחות'!$B$5:$F$13</definedName>
    <definedName function="false" hidden="true" localSheetId="11" name="_xlnm._FilterDatabase" vbProcedure="false">'💡 רעיונות וחדשנות'!$B$5:$H$21</definedName>
    <definedName function="false" hidden="true" localSheetId="7" name="_xlnm._FilterDatabase" vbProcedure="false">'💼 תוכנית עסקית'!$B$38:$C$42</definedName>
    <definedName function="false" hidden="true" localSheetId="3" name="_xlnm._FilterDatabase" vbProcedure="false">'📈 נתוני שוק'!$B$5:$D$15</definedName>
    <definedName function="false" hidden="true" localSheetId="9" name="_xlnm._FilterDatabase" vbProcedure="false">'📉 ניתוח עמדה'!$B$5:$D$10</definedName>
    <definedName function="false" hidden="true" localSheetId="1" name="_xlnm._FilterDatabase" vbProcedure="false">'📊 סקר שוק - מתחרים'!$B$5:$K$14</definedName>
    <definedName function="false" hidden="true" localSheetId="14" name="_xlnm._FilterDatabase" vbProcedure="false">'🔗 מקורות'!$B$5:$F$39</definedName>
    <definedName function="false" hidden="true" localSheetId="13" name="_xlnm._FilterDatabase" vbProcedure="false">'🧭 תוכנית עבודה'!$B$5:$G$29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<sst xmlns="http://schemas.openxmlformats.org/spreadsheetml/2006/main" count="3157" uniqueCount="1384">
  <si>
    <t xml:space="preserve">שמחות פלוס | BSimchot Plus — תוכנית עסקית מורחבת</t>
  </si>
  <si>
    <t xml:space="preserve">עמדות פיזיות דיגיטליות באולמות אירועים: מתנות באשראי, מתנות דיגיטליות ואישורי הגעה (RSVP) | גרסה מורחבת 25/06/2026</t>
  </si>
  <si>
    <t xml:space="preserve">הופק: 18/06/2026 | גרסה 1.0</t>
  </si>
  <si>
    <t xml:space="preserve">תוכן עניינים</t>
  </si>
  <si>
    <t xml:space="preserve">1.</t>
  </si>
  <si>
    <r>
      <rPr>
        <b val="true"/>
        <sz val="10"/>
        <color rgb="FF0E4A4F"/>
        <rFont val="FreeSans"/>
        <family val="2"/>
      </rPr>
      <t xml:space="preserve">📊 סקר שוק </t>
    </r>
    <r>
      <rPr>
        <b val="true"/>
        <sz val="10"/>
        <color rgb="FF0E4A4F"/>
        <rFont val="Calibri"/>
        <family val="0"/>
        <charset val="1"/>
      </rPr>
      <t xml:space="preserve">- </t>
    </r>
    <r>
      <rPr>
        <b val="true"/>
        <sz val="10"/>
        <color rgb="FF0E4A4F"/>
        <rFont val="FreeSans"/>
        <family val="2"/>
      </rPr>
      <t xml:space="preserve">מתחרים</t>
    </r>
  </si>
  <si>
    <r>
      <rPr>
        <sz val="10"/>
        <rFont val="FreeSans"/>
        <family val="2"/>
      </rPr>
      <t xml:space="preserve">כולל </t>
    </r>
    <r>
      <rPr>
        <sz val="10"/>
        <rFont val="Calibri"/>
        <family val="0"/>
        <charset val="1"/>
      </rPr>
      <t xml:space="preserve">Mazalit; </t>
    </r>
    <r>
      <rPr>
        <sz val="10"/>
        <rFont val="FreeSans"/>
        <family val="2"/>
      </rPr>
      <t xml:space="preserve">נדרים פלוס מסומן כשותף ולא כמתחרה</t>
    </r>
  </si>
  <si>
    <t xml:space="preserve">2.</t>
  </si>
  <si>
    <r>
      <rPr>
        <b val="true"/>
        <sz val="10"/>
        <color rgb="FF0E4A4F"/>
        <rFont val="FreeSans"/>
        <family val="2"/>
      </rPr>
      <t xml:space="preserve">🏛️ אולמות </t>
    </r>
    <r>
      <rPr>
        <b val="true"/>
        <sz val="10"/>
        <color rgb="FF0E4A4F"/>
        <rFont val="Calibri"/>
        <family val="0"/>
        <charset val="1"/>
      </rPr>
      <t xml:space="preserve">- </t>
    </r>
    <r>
      <rPr>
        <b val="true"/>
        <sz val="10"/>
        <color rgb="FF0E4A4F"/>
        <rFont val="FreeSans"/>
        <family val="2"/>
      </rPr>
      <t xml:space="preserve">רשימה</t>
    </r>
  </si>
  <si>
    <r>
      <rPr>
        <sz val="10"/>
        <rFont val="Calibri"/>
        <family val="0"/>
        <charset val="1"/>
      </rPr>
      <t xml:space="preserve">342 </t>
    </r>
    <r>
      <rPr>
        <sz val="10"/>
        <rFont val="FreeSans"/>
        <family val="2"/>
      </rPr>
      <t xml:space="preserve">אולמות וגנים — עיר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אזור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קטגוריה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קהל יעד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מס</t>
    </r>
    <r>
      <rPr>
        <sz val="10"/>
        <rFont val="Calibri"/>
        <family val="0"/>
        <charset val="1"/>
      </rPr>
      <t xml:space="preserve">' </t>
    </r>
    <r>
      <rPr>
        <sz val="10"/>
        <rFont val="FreeSans"/>
        <family val="2"/>
      </rPr>
      <t xml:space="preserve">אולמות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טלפון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אימייל</t>
    </r>
  </si>
  <si>
    <t xml:space="preserve">3.</t>
  </si>
  <si>
    <t xml:space="preserve">📈 נתוני שוק</t>
  </si>
  <si>
    <r>
      <rPr>
        <sz val="10"/>
        <rFont val="FreeSans"/>
        <family val="2"/>
      </rPr>
      <t xml:space="preserve">שוק חתונות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ענף האירועים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מחירי מנה ומתנות דיגיטליות</t>
    </r>
  </si>
  <si>
    <t xml:space="preserve">4.</t>
  </si>
  <si>
    <t xml:space="preserve">📊 מגזרים וסכומי מתנות</t>
  </si>
  <si>
    <r>
      <rPr>
        <sz val="10"/>
        <rFont val="FreeSans"/>
        <family val="2"/>
      </rPr>
      <t xml:space="preserve">פילוח מגזר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תת</t>
    </r>
    <r>
      <rPr>
        <sz val="10"/>
        <rFont val="Calibri"/>
        <family val="0"/>
        <charset val="1"/>
      </rPr>
      <t xml:space="preserve">-</t>
    </r>
    <r>
      <rPr>
        <sz val="10"/>
        <rFont val="FreeSans"/>
        <family val="2"/>
      </rPr>
      <t xml:space="preserve">מגזר</t>
    </r>
    <r>
      <rPr>
        <sz val="10"/>
        <rFont val="Calibri"/>
        <family val="0"/>
        <charset val="1"/>
      </rPr>
      <t xml:space="preserve">: </t>
    </r>
    <r>
      <rPr>
        <sz val="10"/>
        <rFont val="FreeSans"/>
        <family val="2"/>
      </rPr>
      <t xml:space="preserve">סכומי מתנה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יתרון העמדה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חבילה בסגירת אולם</t>
    </r>
  </si>
  <si>
    <t xml:space="preserve">5.</t>
  </si>
  <si>
    <t xml:space="preserve">👥 סקר לקוחות</t>
  </si>
  <si>
    <t xml:space="preserve">שאלות וממצאים לבעלי אירועים ואורחים</t>
  </si>
  <si>
    <t xml:space="preserve">6.</t>
  </si>
  <si>
    <r>
      <rPr>
        <b val="true"/>
        <sz val="10"/>
        <color rgb="FF0E4A4F"/>
        <rFont val="FreeSans"/>
        <family val="2"/>
      </rPr>
      <t xml:space="preserve">🏢 סקר אולמות </t>
    </r>
    <r>
      <rPr>
        <b val="true"/>
        <sz val="10"/>
        <color rgb="FF0E4A4F"/>
        <rFont val="Calibri"/>
        <family val="0"/>
        <charset val="1"/>
      </rPr>
      <t xml:space="preserve">B2B</t>
    </r>
  </si>
  <si>
    <t xml:space="preserve">שאלות וממצאים לבעלי אולמות</t>
  </si>
  <si>
    <t xml:space="preserve">7.</t>
  </si>
  <si>
    <t xml:space="preserve">💼 תוכנית עסקית</t>
  </si>
  <si>
    <r>
      <rPr>
        <sz val="10"/>
        <rFont val="FreeSans"/>
        <family val="2"/>
      </rPr>
      <t xml:space="preserve">הנחות קלט כחולות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מודל הכנסות </t>
    </r>
    <r>
      <rPr>
        <sz val="10"/>
        <rFont val="Calibri"/>
        <family val="0"/>
        <charset val="1"/>
      </rPr>
      <t xml:space="preserve">B2B2C </t>
    </r>
    <r>
      <rPr>
        <sz val="10"/>
        <rFont val="FreeSans"/>
        <family val="2"/>
      </rPr>
      <t xml:space="preserve">ויחידת כלכלה</t>
    </r>
  </si>
  <si>
    <t xml:space="preserve">8.</t>
  </si>
  <si>
    <t xml:space="preserve">💰 רווח והפסד</t>
  </si>
  <si>
    <r>
      <rPr>
        <sz val="10"/>
        <rFont val="FreeSans"/>
        <family val="2"/>
      </rPr>
      <t xml:space="preserve">מטריצת רווחיות חיה ו</t>
    </r>
    <r>
      <rPr>
        <sz val="10"/>
        <rFont val="Calibri"/>
        <family val="0"/>
        <charset val="1"/>
      </rPr>
      <t xml:space="preserve">-P&amp;L </t>
    </r>
    <r>
      <rPr>
        <sz val="10"/>
        <rFont val="FreeSans"/>
        <family val="2"/>
      </rPr>
      <t xml:space="preserve">רב</t>
    </r>
    <r>
      <rPr>
        <sz val="10"/>
        <rFont val="Calibri"/>
        <family val="0"/>
        <charset val="1"/>
      </rPr>
      <t xml:space="preserve">-</t>
    </r>
    <r>
      <rPr>
        <sz val="10"/>
        <rFont val="FreeSans"/>
        <family val="2"/>
      </rPr>
      <t xml:space="preserve">שנתי</t>
    </r>
  </si>
  <si>
    <t xml:space="preserve">9.</t>
  </si>
  <si>
    <t xml:space="preserve">📉 ניתוח עמדה</t>
  </si>
  <si>
    <t xml:space="preserve">רגישות רווחיות לפי מחזור וסליקה</t>
  </si>
  <si>
    <t xml:space="preserve">10.</t>
  </si>
  <si>
    <r>
      <rPr>
        <b val="true"/>
        <sz val="10"/>
        <color rgb="FF0E4A4F"/>
        <rFont val="FreeSans"/>
        <family val="2"/>
      </rPr>
      <t xml:space="preserve">🗓️ תחזית </t>
    </r>
    <r>
      <rPr>
        <b val="true"/>
        <sz val="10"/>
        <color rgb="FF0E4A4F"/>
        <rFont val="Calibri"/>
        <family val="0"/>
        <charset val="1"/>
      </rPr>
      <t xml:space="preserve">7 </t>
    </r>
    <r>
      <rPr>
        <b val="true"/>
        <sz val="10"/>
        <color rgb="FF0E4A4F"/>
        <rFont val="FreeSans"/>
        <family val="2"/>
      </rPr>
      <t xml:space="preserve">שנים</t>
    </r>
  </si>
  <si>
    <r>
      <rPr>
        <sz val="10"/>
        <rFont val="FreeSans"/>
        <family val="2"/>
      </rPr>
      <t xml:space="preserve">תחזית </t>
    </r>
    <r>
      <rPr>
        <sz val="10"/>
        <rFont val="Calibri"/>
        <family val="0"/>
        <charset val="1"/>
      </rPr>
      <t xml:space="preserve">2025-2031 </t>
    </r>
    <r>
      <rPr>
        <sz val="10"/>
        <rFont val="FreeSans"/>
        <family val="2"/>
      </rPr>
      <t xml:space="preserve">עם נוסחאות</t>
    </r>
  </si>
  <si>
    <t xml:space="preserve">11.</t>
  </si>
  <si>
    <t xml:space="preserve">💡 רעיונות וחדשנות</t>
  </si>
  <si>
    <t xml:space="preserve">מפת חדשנות מוצרית עם תעדוף לפי תחום</t>
  </si>
  <si>
    <t xml:space="preserve">12.</t>
  </si>
  <si>
    <t xml:space="preserve">🖥️ ממשק והרחבות</t>
  </si>
  <si>
    <r>
      <rPr>
        <sz val="10"/>
        <rFont val="Calibri"/>
        <family val="0"/>
        <charset val="1"/>
      </rPr>
      <t xml:space="preserve">UX </t>
    </r>
    <r>
      <rPr>
        <sz val="10"/>
        <rFont val="FreeSans"/>
        <family val="2"/>
      </rPr>
      <t xml:space="preserve">לאולמות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אירועים </t>
    </r>
    <r>
      <rPr>
        <sz val="10"/>
        <rFont val="Calibri"/>
        <family val="0"/>
        <charset val="1"/>
      </rPr>
      <t xml:space="preserve">+ </t>
    </r>
    <r>
      <rPr>
        <sz val="10"/>
        <rFont val="FreeSans"/>
        <family val="2"/>
      </rPr>
      <t xml:space="preserve">הרחבה לדינרים</t>
    </r>
    <r>
      <rPr>
        <sz val="10"/>
        <rFont val="Calibri"/>
        <family val="0"/>
        <charset val="1"/>
      </rPr>
      <t xml:space="preserve">, </t>
    </r>
    <r>
      <rPr>
        <sz val="10"/>
        <rFont val="FreeSans"/>
        <family val="2"/>
      </rPr>
      <t xml:space="preserve">תערוכות ועמדת תצוגה</t>
    </r>
  </si>
  <si>
    <t xml:space="preserve">13.</t>
  </si>
  <si>
    <t xml:space="preserve">🧭 תוכנית עבודה</t>
  </si>
  <si>
    <r>
      <rPr>
        <sz val="10"/>
        <rFont val="Calibri"/>
        <family val="0"/>
        <charset val="1"/>
      </rPr>
      <t xml:space="preserve">Roadmap </t>
    </r>
    <r>
      <rPr>
        <sz val="10"/>
        <rFont val="FreeSans"/>
        <family val="2"/>
      </rPr>
      <t xml:space="preserve">רבעוני ורב</t>
    </r>
    <r>
      <rPr>
        <sz val="10"/>
        <rFont val="Calibri"/>
        <family val="0"/>
        <charset val="1"/>
      </rPr>
      <t xml:space="preserve">-</t>
    </r>
    <r>
      <rPr>
        <sz val="10"/>
        <rFont val="FreeSans"/>
        <family val="2"/>
      </rPr>
      <t xml:space="preserve">שנתי</t>
    </r>
  </si>
  <si>
    <t xml:space="preserve">14.</t>
  </si>
  <si>
    <t xml:space="preserve">🔗 מקורות</t>
  </si>
  <si>
    <r>
      <rPr>
        <sz val="10"/>
        <rFont val="FreeSans"/>
        <family val="2"/>
      </rPr>
      <t xml:space="preserve">רשימת מקורות עם </t>
    </r>
    <r>
      <rPr>
        <sz val="10"/>
        <rFont val="Calibri"/>
        <family val="0"/>
        <charset val="1"/>
      </rPr>
      <t xml:space="preserve">URL</t>
    </r>
  </si>
  <si>
    <t xml:space="preserve">סקר מתחרים מורחב | מתנות דיגיטליות, RSVP ועמדות פיזיות בישראל</t>
  </si>
  <si>
    <t xml:space="preserve">נדרים פלוס אינו מופיע כמתחרה — הוא שותף סליקה/קהילה פוטנציאלי למודול חרדי. נתונים מבוססים על מקורות ציבוריים שנאספו ביוני 2026.</t>
  </si>
  <si>
    <t xml:space="preserve">חברה</t>
  </si>
  <si>
    <t xml:space="preserve">סוג שירות</t>
  </si>
  <si>
    <t xml:space="preserve">מחיר/הקמה ציבוריים</t>
  </si>
  <si>
    <t xml:space="preserve">עמלה/סליקה</t>
  </si>
  <si>
    <t xml:space="preserve">עמדה פיזית</t>
  </si>
  <si>
    <t xml:space="preserve">לידים לאולם</t>
  </si>
  <si>
    <t xml:space="preserve">תנאים/חוזה/פרטי שירות</t>
  </si>
  <si>
    <t xml:space="preserve">יתרונות</t>
  </si>
  <si>
    <t xml:space="preserve">חסרונות/פערים</t>
  </si>
  <si>
    <t xml:space="preserve">מקורות</t>
  </si>
  <si>
    <t xml:space="preserve">Easy2Give</t>
  </si>
  <si>
    <t xml:space="preserve">מתנות באשראי + RSVP + עמדות/ארנק דיגיטלי</t>
  </si>
  <si>
    <t xml:space="preserve">לרוב ללא הקמה למתנה; RSVP לפי רשומה; דיילי הושבה החל 1,450₪</t>
  </si>
  <si>
    <t xml:space="preserve">עמלה משתנה; Mako דיווח על מינימום 6.9₪ ועד 2.7% ודוגמאות סביב 2%+</t>
  </si>
  <si>
    <t xml:space="preserve">כן</t>
  </si>
  <si>
    <t xml:space="preserve">לא</t>
  </si>
  <si>
    <t xml:space="preserve">מקסימום מתנה 5,000₪; עד 6 תשלומים; העברה תוך כמה ימי עסקים; דוחות מתנות; RSVP חינם מעל מדרגות מתנות</t>
  </si>
  <si>
    <t xml:space="preserve">מותג מוכר, עמדות פיזיות, מענה מוכח</t>
  </si>
  <si>
    <t xml:space="preserve">עמלות אורח נתפסות כגבוהות; הליד נשאר אצל החברה/הזוג ולא אצל האולם</t>
  </si>
  <si>
    <t xml:space="preserve">Easy2Give - תנאי שימוש; Easy2Give - מבצע RSVP 2026; Mako/N12 - עמלות מתנות באשראי</t>
  </si>
  <si>
    <t xml:space="preserve">DigitalPick</t>
  </si>
  <si>
    <t xml:space="preserve">אישורי הגעה, הושבה ומתנות באשראי</t>
  </si>
  <si>
    <t xml:space="preserve">חבילות 650₪, 1,850₪, 2,800₪; חנות: 0.80-1.65₪ לרשומה; מתנות באשראי 200₪</t>
  </si>
  <si>
    <t xml:space="preserve">לא פורסם באתר; השירות כלול/נמכר כחבילה</t>
  </si>
  <si>
    <t xml:space="preserve">חלקי/דיגיטלי</t>
  </si>
  <si>
    <t xml:space="preserve">וואטסאפ, טלפונים, הושבה, דיילת רישום 999₪, הושבה מלאה 1,300₪</t>
  </si>
  <si>
    <t xml:space="preserve">חבילות ברורות ורחבות, שירותי יום אירוע</t>
  </si>
  <si>
    <t xml:space="preserve">פחות ממוקד בעמדה פיזית ייעודית; אין מודל לידים לאולם</t>
  </si>
  <si>
    <t xml:space="preserve">DigitalPick - אתר וחבילות; DigitalPick - חנות אונליין; DigitalPick - Mit4Mit</t>
  </si>
  <si>
    <t xml:space="preserve">MyInvite</t>
  </si>
  <si>
    <t xml:space="preserve">הזמנות דיגיטליות, RSVP ומתנות באשראי</t>
  </si>
  <si>
    <t xml:space="preserve">0₪/149₪/199₪/299₪ לפי גודל אירוע; ביטול מתנות מחזיר למחיר 1.8₪ לרשומה</t>
  </si>
  <si>
    <t xml:space="preserve">5.8% + מע״מ = 6.84% מבעלי האירוע; 8₪ עמלת טיפול לאורח לעסקה</t>
  </si>
  <si>
    <t xml:space="preserve">כסף מועבר ב-5 או ב-11 לחודש העוקב לפי תאריך האירוע; חובה בחלק מהחבילות</t>
  </si>
  <si>
    <t xml:space="preserve">מחיר כניסה נמוך, All-in-One פשוט</t>
  </si>
  <si>
    <t xml:space="preserve">עמלה גבוהה לבעלי האירוע; ללא עמדה פיזית; אין לידים לאולם</t>
  </si>
  <si>
    <t xml:space="preserve">MyInvite - מתנות באשראי ותקנון; MyInvite - מחיר RSVP; MyInvite - Mit4Mit</t>
  </si>
  <si>
    <t xml:space="preserve">DIGINET</t>
  </si>
  <si>
    <t xml:space="preserve">הזמנות דיגיטליות, RSVP, הושבה ומתנות באשראי</t>
  </si>
  <si>
    <t xml:space="preserve">מתנות באשראי 100₪ במקום 250₪ או חינם בשדרוג; Mit4Mit מחיר ממוצע 726₪</t>
  </si>
  <si>
    <t xml:space="preserve">לא פורסם; הכסף מתקבל במלואו לפי האתר</t>
  </si>
  <si>
    <t xml:space="preserve">Apple Pay/Google Pay; עד 6 תשלומים; העברת כספים עד 3 ימי עסקים החל מיומיים אחרי האירוע</t>
  </si>
  <si>
    <t xml:space="preserve">מוצר דיגיטלי מודרני, אפליקציה, חבילות שדרוג</t>
  </si>
  <si>
    <t xml:space="preserve">פחות בידול בעמדה פיזית; תלות בוואטסאפ/דיגיטל</t>
  </si>
  <si>
    <t xml:space="preserve">DIGINET - חבילות ומחירים; DIGINET - מתנות באשראי; DIGINET - Mit4Mit</t>
  </si>
  <si>
    <t xml:space="preserve">Wedix</t>
  </si>
  <si>
    <t xml:space="preserve">אפליקציה/לינק למתנות באשראי והזמנות</t>
  </si>
  <si>
    <t xml:space="preserve">משתנה לפי מספר הודעות ושירותים; אין מחיר אחיד באתר</t>
  </si>
  <si>
    <t xml:space="preserve">עמלות אורח/עלות שירות לפי חבילה</t>
  </si>
  <si>
    <t xml:space="preserve">שירות מתנה דרך אפליקציה/לינק; מצוין שאינו דומה לעמדות פיזיות באירועים</t>
  </si>
  <si>
    <t xml:space="preserve">מוצר תוכן/דיגיטל ממוקד חתונות</t>
  </si>
  <si>
    <t xml:space="preserve">ללא עמדה פיזית; מחיר לא שקוף</t>
  </si>
  <si>
    <t xml:space="preserve">Wedix - מתנות באשראי; Wedix - יתרונות וחסרונות</t>
  </si>
  <si>
    <t xml:space="preserve">Attending</t>
  </si>
  <si>
    <t xml:space="preserve">פלטפורמת ניהול אירוע, RSVP, הזמנות AI ומתנות באשראי</t>
  </si>
  <si>
    <t xml:space="preserve">אישורי הגעה וואטסאפ/SMS החל 199₪; טלפוני החל 199₪; הזמנה דיגיטלית החל 129₪</t>
  </si>
  <si>
    <t xml:space="preserve">לא פורסם בפירוט</t>
  </si>
  <si>
    <t xml:space="preserve">הקמת אירוע תוך דקות, הודעות, מתנות אשראי, הושבה, סנכרון בזמן אמת</t>
  </si>
  <si>
    <t xml:space="preserve">UI מודרני, מחיר כניסה נמוך, מיקוד RSVP</t>
  </si>
  <si>
    <t xml:space="preserve">אין עמדה פיזית/כספת דיגיטלית באולם; אין ערך שיווקי מובנה לאולם</t>
  </si>
  <si>
    <t xml:space="preserve">Attending - אתר; Attending - מחירים</t>
  </si>
  <si>
    <t xml:space="preserve">MagiimOlo / מגיעים או לא</t>
  </si>
  <si>
    <t xml:space="preserve">אישורי הגעה מנוהלים עם מוקד אנושי, SMS/WhatsApp</t>
  </si>
  <si>
    <t xml:space="preserve">מינימום הזמנה 200₪ למסלול SMS ו-300₪ למסלול WhatsApp; מחיר לפי רשומות</t>
  </si>
  <si>
    <t xml:space="preserve">לא רלוונטי/לא מפורסם למתנות</t>
  </si>
  <si>
    <t xml:space="preserve">מוקד אנושי, 4 סבבי SMS או 2 סבבי WhatsApp, דגש על דיוק הגעה וחיסכון מנות</t>
  </si>
  <si>
    <t xml:space="preserve">שירות אנושי ותיק, חיסכון במנות</t>
  </si>
  <si>
    <t xml:space="preserve">לא פתרון מתנות באשראי מלא; ללא עמדה ולידים לאולם</t>
  </si>
  <si>
    <t xml:space="preserve">MagiimOlo - מחירון</t>
  </si>
  <si>
    <t xml:space="preserve">Mazalit / מזל״ט</t>
  </si>
  <si>
    <t xml:space="preserve">עמדות מתנות אשראי לציבור החרדי</t>
  </si>
  <si>
    <t xml:space="preserve">לא פורסם; מותאם לקהלים נפרדים באולם</t>
  </si>
  <si>
    <t xml:space="preserve">לא פורסם; הפעלה דרך נש״פ/RSVP לפי התקנון</t>
  </si>
  <si>
    <t xml:space="preserve">כן — עמדות גברים/נשים</t>
  </si>
  <si>
    <t xml:space="preserve">עמדות פיזיות באולם; קישור לאנשים שלא הגיעו; סגירת קישור בבוקר למחרת; העברה תוך עד 7 ימי עסקים; בנוי לציבור החרדי</t>
  </si>
  <si>
    <t xml:space="preserve">מענה כשר/חרדי, עמדה פיזית ותהליך אמון</t>
  </si>
  <si>
    <t xml:space="preserve">נישה מגזרית; מחיר לא שקוף; ללא מודול לידים לאולם</t>
  </si>
  <si>
    <t xml:space="preserve">Mazalit - תקנון; Mazalit - אתר</t>
  </si>
  <si>
    <t xml:space="preserve">שמחות פלוס (Benchmark)</t>
  </si>
  <si>
    <t xml:space="preserve">עמדה פיזית + מתנות אשראי + RSVP + דף נחיתה ולידים לאולם</t>
  </si>
  <si>
    <t xml:space="preserve">100-200₪ דמי הקמה לאירוע + 50₪ חשבון סליקה</t>
  </si>
  <si>
    <t xml:space="preserve">0.5%-1% הכנסה; יעד מחיר נגיש מול השוק</t>
  </si>
  <si>
    <t xml:space="preserve">כן — מלא</t>
  </si>
  <si>
    <t xml:space="preserve">כן — בידול עיקרי</t>
  </si>
  <si>
    <t xml:space="preserve">B2B2C: האולם מוכר, בעל האירוע משלם, האולם מקבל לידים חמים ו-White Label</t>
  </si>
  <si>
    <t xml:space="preserve">מודל לידים ייחודי, עמדה פיזית, מחיר נמוך, הכנסה מרובדת</t>
  </si>
  <si>
    <t xml:space="preserve">דרוש אמון, פריסה תפעולית והתקנות בשטח</t>
  </si>
  <si>
    <t xml:space="preserve">פרמטרים שסופקו על ידי היזם</t>
  </si>
  <si>
    <t xml:space="preserve">מקורות: Mako/N12 - עמלות מתנות באשראי, Mazalit - תקנון, MyInvite - מתנות באשראי ותקנון, DIGINET - חבילות ומחירים</t>
  </si>
  <si>
    <r>
      <rPr>
        <b val="true"/>
        <sz val="16"/>
        <color rgb="FF0E4A4F"/>
        <rFont val="FreeSans"/>
        <family val="2"/>
      </rPr>
      <t xml:space="preserve">מיפוי אולמות וגני אירועים בישראל — רשימת יעד מכירות </t>
    </r>
    <r>
      <rPr>
        <b val="true"/>
        <sz val="16"/>
        <color rgb="FF0E4A4F"/>
        <rFont val="Calibri"/>
        <family val="0"/>
        <charset val="1"/>
      </rPr>
      <t xml:space="preserve">B2B2C</t>
    </r>
  </si>
  <si>
    <r>
      <rPr>
        <i val="true"/>
        <sz val="10"/>
        <color rgb="FF555555"/>
        <rFont val="Calibri"/>
        <family val="0"/>
        <charset val="1"/>
      </rPr>
      <t xml:space="preserve">342 </t>
    </r>
    <r>
      <rPr>
        <i val="true"/>
        <sz val="10"/>
        <color rgb="FF555555"/>
        <rFont val="FreeSans"/>
        <family val="2"/>
      </rPr>
      <t xml:space="preserve">מקומות מכל הארץ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מסווגים לפי עיר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אזור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קטגוריה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קהל יעד ומספר אולמות במתחם</t>
    </r>
    <r>
      <rPr>
        <i val="true"/>
        <sz val="10"/>
        <color rgb="FF555555"/>
        <rFont val="Calibri"/>
        <family val="0"/>
        <charset val="1"/>
      </rPr>
      <t xml:space="preserve">. </t>
    </r>
    <r>
      <rPr>
        <i val="true"/>
        <sz val="10"/>
        <color rgb="FF555555"/>
        <rFont val="FreeSans"/>
        <family val="2"/>
      </rPr>
      <t xml:space="preserve">נתוני קיבולת</t>
    </r>
    <r>
      <rPr>
        <i val="true"/>
        <sz val="10"/>
        <color rgb="FF555555"/>
        <rFont val="Calibri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טלפון</t>
    </r>
    <r>
      <rPr>
        <i val="true"/>
        <sz val="10"/>
        <color rgb="FF555555"/>
        <rFont val="Calibri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אימייל מבוססים מקורות ציבוריים — יש לאמת טלפונית לפני פנייה מסחרית</t>
    </r>
    <r>
      <rPr>
        <i val="true"/>
        <sz val="10"/>
        <color rgb="FF555555"/>
        <rFont val="Calibri"/>
        <family val="0"/>
        <charset val="1"/>
      </rPr>
      <t xml:space="preserve">. </t>
    </r>
    <r>
      <rPr>
        <i val="true"/>
        <sz val="10"/>
        <color rgb="FF555555"/>
        <rFont val="FreeSans"/>
        <family val="2"/>
      </rPr>
      <t xml:space="preserve">תאים ריקים </t>
    </r>
    <r>
      <rPr>
        <i val="true"/>
        <sz val="10"/>
        <color rgb="FF555555"/>
        <rFont val="Calibri"/>
        <family val="0"/>
        <charset val="1"/>
      </rPr>
      <t xml:space="preserve">= </t>
    </r>
    <r>
      <rPr>
        <i val="true"/>
        <sz val="10"/>
        <color rgb="FF555555"/>
        <rFont val="FreeSans"/>
        <family val="2"/>
      </rPr>
      <t xml:space="preserve">נתון לא פורסם</t>
    </r>
    <r>
      <rPr>
        <i val="true"/>
        <sz val="10"/>
        <color rgb="FF555555"/>
        <rFont val="Calibri"/>
        <family val="0"/>
        <charset val="1"/>
      </rPr>
      <t xml:space="preserve">.</t>
    </r>
  </si>
  <si>
    <r>
      <rPr>
        <b val="true"/>
        <sz val="12"/>
        <color rgb="FFD19900"/>
        <rFont val="FreeSans"/>
        <family val="2"/>
      </rPr>
      <t xml:space="preserve">סיכום לפי קטגוריה </t>
    </r>
    <r>
      <rPr>
        <b val="true"/>
        <sz val="12"/>
        <color rgb="FFD19900"/>
        <rFont val="Calibri"/>
        <family val="0"/>
        <charset val="1"/>
      </rPr>
      <t xml:space="preserve">(</t>
    </r>
    <r>
      <rPr>
        <b val="true"/>
        <sz val="12"/>
        <color rgb="FFD19900"/>
        <rFont val="FreeSans"/>
        <family val="2"/>
      </rPr>
      <t xml:space="preserve">מתעדכן אוטומטית</t>
    </r>
    <r>
      <rPr>
        <b val="true"/>
        <sz val="12"/>
        <color rgb="FFD19900"/>
        <rFont val="Calibri"/>
        <family val="0"/>
        <charset val="1"/>
      </rPr>
      <t xml:space="preserve">)</t>
    </r>
  </si>
  <si>
    <t xml:space="preserve">קטגוריה</t>
  </si>
  <si>
    <t xml:space="preserve">מספר מקומות</t>
  </si>
  <si>
    <t xml:space="preserve">אולם חתונות גדול</t>
  </si>
  <si>
    <t xml:space="preserve">גן אירועים</t>
  </si>
  <si>
    <r>
      <rPr>
        <sz val="11"/>
        <color theme="1"/>
        <rFont val="FreeSans"/>
        <family val="2"/>
      </rPr>
      <t xml:space="preserve">אולם קטן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בוטיק</t>
    </r>
  </si>
  <si>
    <r>
      <rPr>
        <sz val="11"/>
        <color theme="1"/>
        <rFont val="FreeSans"/>
        <family val="2"/>
      </rPr>
      <t xml:space="preserve">מתחם רב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אולמי</t>
    </r>
  </si>
  <si>
    <r>
      <rPr>
        <sz val="11"/>
        <color theme="1"/>
        <rFont val="FreeSans"/>
        <family val="2"/>
      </rPr>
      <t xml:space="preserve">לופט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אורבני</t>
    </r>
  </si>
  <si>
    <r>
      <rPr>
        <sz val="11"/>
        <color theme="1"/>
        <rFont val="FreeSans"/>
        <family val="2"/>
      </rPr>
      <t xml:space="preserve">אולם בבית כנסת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קהילתי</t>
    </r>
  </si>
  <si>
    <r>
      <rPr>
        <sz val="11"/>
        <color theme="1"/>
        <rFont val="FreeSans"/>
        <family val="2"/>
      </rPr>
      <t xml:space="preserve">מקום מיוחד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חוף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וילה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טבע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</si>
  <si>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FreeSans"/>
        <family val="2"/>
      </rPr>
      <t xml:space="preserve">סה</t>
    </r>
    <r>
      <rPr>
        <b val="true"/>
        <sz val="11"/>
        <rFont val="Calibri"/>
        <family val="0"/>
        <charset val="1"/>
      </rPr>
      <t xml:space="preserve">"</t>
    </r>
    <r>
      <rPr>
        <b val="true"/>
        <sz val="11"/>
        <rFont val="FreeSans"/>
        <family val="2"/>
      </rPr>
      <t xml:space="preserve">כ</t>
    </r>
  </si>
  <si>
    <t xml:space="preserve">#</t>
  </si>
  <si>
    <t xml:space="preserve">שם המקום</t>
  </si>
  <si>
    <t xml:space="preserve">עיר</t>
  </si>
  <si>
    <t xml:space="preserve">אזור</t>
  </si>
  <si>
    <r>
      <rPr>
        <b val="true"/>
        <sz val="11"/>
        <color rgb="FFFFFFFF"/>
        <rFont val="FreeSans"/>
        <family val="2"/>
      </rPr>
      <t xml:space="preserve">קיבולת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מוזמנים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</si>
  <si>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קהל יעד</t>
  </si>
  <si>
    <r>
      <rPr>
        <b val="true"/>
        <sz val="11"/>
        <color rgb="FFFFFFFF"/>
        <rFont val="FreeSans"/>
        <family val="2"/>
      </rPr>
      <t xml:space="preserve">מס</t>
    </r>
    <r>
      <rPr>
        <b val="true"/>
        <sz val="11"/>
        <color rgb="FFFFFFFF"/>
        <rFont val="Calibri"/>
        <family val="0"/>
        <charset val="1"/>
      </rPr>
      <t xml:space="preserve">' </t>
    </r>
    <r>
      <rPr>
        <b val="true"/>
        <sz val="11"/>
        <color rgb="FFFFFFFF"/>
        <rFont val="FreeSans"/>
        <family val="2"/>
      </rPr>
      <t xml:space="preserve">אולמות במתחם</t>
    </r>
  </si>
  <si>
    <t xml:space="preserve">טלפון</t>
  </si>
  <si>
    <t xml:space="preserve">אימייל</t>
  </si>
  <si>
    <r>
      <rPr>
        <b val="true"/>
        <sz val="11"/>
        <color rgb="FFFFFFFF"/>
        <rFont val="FreeSans"/>
        <family val="2"/>
      </rPr>
      <t xml:space="preserve">קישור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מקור</t>
    </r>
  </si>
  <si>
    <t xml:space="preserve">עדיפות פנייה</t>
  </si>
  <si>
    <t xml:space="preserve">הרמוניה בגן</t>
  </si>
  <si>
    <t xml:space="preserve">גדרה</t>
  </si>
  <si>
    <t xml:space="preserve">שפלה</t>
  </si>
  <si>
    <t xml:space="preserve">07-23926890</t>
  </si>
  <si>
    <t xml:space="preserve">https://www.mit4mit.co.il</t>
  </si>
  <si>
    <t xml:space="preserve">חוות אלנבי</t>
  </si>
  <si>
    <t xml:space="preserve">נצר סרני</t>
  </si>
  <si>
    <t xml:space="preserve">מרכז</t>
  </si>
  <si>
    <t xml:space="preserve">050-8090777</t>
  </si>
  <si>
    <t xml:space="preserve">אלגריה</t>
  </si>
  <si>
    <t xml:space="preserve">קרית עקרון</t>
  </si>
  <si>
    <t xml:space="preserve">07-23926805</t>
  </si>
  <si>
    <t xml:space="preserve">חוות דרך ארץ</t>
  </si>
  <si>
    <t xml:space="preserve">מושב מחסיה</t>
  </si>
  <si>
    <t xml:space="preserve">ירושלים והסביבה</t>
  </si>
  <si>
    <t xml:space="preserve">052-6845559</t>
  </si>
  <si>
    <t xml:space="preserve">וילה נונה</t>
  </si>
  <si>
    <t xml:space="preserve">קיסריה</t>
  </si>
  <si>
    <t xml:space="preserve">שרון</t>
  </si>
  <si>
    <t xml:space="preserve">כללי</t>
  </si>
  <si>
    <t xml:space="preserve">050-8090158</t>
  </si>
  <si>
    <r>
      <rPr>
        <sz val="11"/>
        <color theme="1"/>
        <rFont val="FreeSans"/>
        <family val="2"/>
      </rPr>
      <t xml:space="preserve">סרה גן אירועים </t>
    </r>
    <r>
      <rPr>
        <sz val="11"/>
        <color theme="1"/>
        <rFont val="Calibri"/>
        <family val="2"/>
        <charset val="1"/>
      </rPr>
      <t xml:space="preserve">SERA</t>
    </r>
  </si>
  <si>
    <t xml:space="preserve">בית שמש</t>
  </si>
  <si>
    <t xml:space="preserve">1000</t>
  </si>
  <si>
    <t xml:space="preserve">07-72305479</t>
  </si>
  <si>
    <r>
      <rPr>
        <sz val="11"/>
        <color theme="1"/>
        <rFont val="FreeSans"/>
        <family val="2"/>
      </rPr>
      <t xml:space="preserve">גארדן הוטל </t>
    </r>
    <r>
      <rPr>
        <sz val="11"/>
        <color theme="1"/>
        <rFont val="Calibri"/>
        <family val="2"/>
        <charset val="1"/>
      </rPr>
      <t xml:space="preserve">Garden Hotel</t>
    </r>
  </si>
  <si>
    <t xml:space="preserve">חיפה</t>
  </si>
  <si>
    <t xml:space="preserve">צפון</t>
  </si>
  <si>
    <t xml:space="preserve">300</t>
  </si>
  <si>
    <t xml:space="preserve">050-8355552</t>
  </si>
  <si>
    <t xml:space="preserve">צל החורש</t>
  </si>
  <si>
    <t xml:space="preserve">דרום השרון</t>
  </si>
  <si>
    <t xml:space="preserve">07-23971545</t>
  </si>
  <si>
    <t xml:space="preserve">https://www.tzhelhahoresh.co.il</t>
  </si>
  <si>
    <t xml:space="preserve">אודאון גן אירועים בשרון</t>
  </si>
  <si>
    <t xml:space="preserve">עמק חפר</t>
  </si>
  <si>
    <t xml:space="preserve">07-23926877</t>
  </si>
  <si>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FreeSans"/>
        <family val="2"/>
      </rPr>
      <t xml:space="preserve">גן אירועים</t>
    </r>
  </si>
  <si>
    <t xml:space="preserve">07-23726878</t>
  </si>
  <si>
    <t xml:space="preserve">אגדתא</t>
  </si>
  <si>
    <t xml:space="preserve">בני ראם</t>
  </si>
  <si>
    <t xml:space="preserve">07-23971539</t>
  </si>
  <si>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FreeSans"/>
        <family val="2"/>
      </rPr>
      <t xml:space="preserve">גן ומתחם אירועים</t>
    </r>
  </si>
  <si>
    <t xml:space="preserve">פתח תקווה</t>
  </si>
  <si>
    <t xml:space="preserve">055-9705798</t>
  </si>
  <si>
    <t xml:space="preserve">שמורתה גן אירועים</t>
  </si>
  <si>
    <t xml:space="preserve">אפק</t>
  </si>
  <si>
    <t xml:space="preserve">07-23932938</t>
  </si>
  <si>
    <t xml:space="preserve">קיסר ים</t>
  </si>
  <si>
    <t xml:space="preserve">050-8090170</t>
  </si>
  <si>
    <t xml:space="preserve">קויה מתחם אירועים</t>
  </si>
  <si>
    <t xml:space="preserve">חולון</t>
  </si>
  <si>
    <t xml:space="preserve">055-9705807</t>
  </si>
  <si>
    <t xml:space="preserve">חלום בחווה</t>
  </si>
  <si>
    <t xml:space="preserve">חדרה</t>
  </si>
  <si>
    <t xml:space="preserve">07-23926883</t>
  </si>
  <si>
    <r>
      <rPr>
        <sz val="11"/>
        <color theme="1"/>
        <rFont val="FreeSans"/>
        <family val="2"/>
      </rPr>
      <t xml:space="preserve">ים </t>
    </r>
    <r>
      <rPr>
        <sz val="11"/>
        <color theme="1"/>
        <rFont val="Calibri"/>
        <family val="2"/>
        <charset val="1"/>
      </rPr>
      <t xml:space="preserve">YAM</t>
    </r>
  </si>
  <si>
    <r>
      <rPr>
        <sz val="11"/>
        <color theme="1"/>
        <rFont val="FreeSans"/>
        <family val="2"/>
      </rPr>
      <t xml:space="preserve">תל אביב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יפו</t>
    </r>
  </si>
  <si>
    <t xml:space="preserve">055-2118726</t>
  </si>
  <si>
    <t xml:space="preserve">עלמה</t>
  </si>
  <si>
    <t xml:space="preserve">אבן יהודה</t>
  </si>
  <si>
    <t xml:space="preserve">050-8005552</t>
  </si>
  <si>
    <t xml:space="preserve">הגבעה</t>
  </si>
  <si>
    <t xml:space="preserve">גבעת ברנר</t>
  </si>
  <si>
    <t xml:space="preserve">050-8005550</t>
  </si>
  <si>
    <t xml:space="preserve">White</t>
  </si>
  <si>
    <r>
      <rPr>
        <sz val="11"/>
        <color theme="1"/>
        <rFont val="FreeSans"/>
        <family val="2"/>
      </rPr>
      <t xml:space="preserve">פרדס חנה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כרכור</t>
    </r>
  </si>
  <si>
    <t xml:space="preserve">07-23926806</t>
  </si>
  <si>
    <t xml:space="preserve">בית חלל אירועים אורבני</t>
  </si>
  <si>
    <t xml:space="preserve">רעננה</t>
  </si>
  <si>
    <t xml:space="preserve">450</t>
  </si>
  <si>
    <t xml:space="preserve">050-8090783</t>
  </si>
  <si>
    <r>
      <rPr>
        <sz val="11"/>
        <color theme="1"/>
        <rFont val="Calibri"/>
        <family val="2"/>
        <charset val="1"/>
      </rPr>
      <t xml:space="preserve">YARA </t>
    </r>
    <r>
      <rPr>
        <sz val="11"/>
        <color theme="1"/>
        <rFont val="FreeSans"/>
        <family val="2"/>
      </rPr>
      <t xml:space="preserve">יארה</t>
    </r>
  </si>
  <si>
    <t xml:space="preserve">055-9705765</t>
  </si>
  <si>
    <t xml:space="preserve">גאיה חדרה</t>
  </si>
  <si>
    <t xml:space="preserve">800</t>
  </si>
  <si>
    <t xml:space="preserve">07-23939928</t>
  </si>
  <si>
    <t xml:space="preserve">עדן גן האירועים</t>
  </si>
  <si>
    <t xml:space="preserve">ניר אליהו</t>
  </si>
  <si>
    <t xml:space="preserve">07-23929931</t>
  </si>
  <si>
    <t xml:space="preserve">שרונית גן אירועים</t>
  </si>
  <si>
    <t xml:space="preserve">משמר השרון</t>
  </si>
  <si>
    <t xml:space="preserve">07-23929927</t>
  </si>
  <si>
    <t xml:space="preserve">בורג׳ בנימינה</t>
  </si>
  <si>
    <t xml:space="preserve">בנימינה</t>
  </si>
  <si>
    <t xml:space="preserve">600</t>
  </si>
  <si>
    <t xml:space="preserve">050-8092044</t>
  </si>
  <si>
    <t xml:space="preserve">ביער גן אירועים</t>
  </si>
  <si>
    <t xml:space="preserve">פארק השרון</t>
  </si>
  <si>
    <t xml:space="preserve">07-23932929</t>
  </si>
  <si>
    <t xml:space="preserve">גן הפקאן</t>
  </si>
  <si>
    <t xml:space="preserve">רמת הכובש</t>
  </si>
  <si>
    <t xml:space="preserve">סיטרוס</t>
  </si>
  <si>
    <t xml:space="preserve">050-8727271</t>
  </si>
  <si>
    <t xml:space="preserve">בדולינה</t>
  </si>
  <si>
    <t xml:space="preserve">055-9705773</t>
  </si>
  <si>
    <t xml:space="preserve">קסאנאדו</t>
  </si>
  <si>
    <t xml:space="preserve">0722160245</t>
  </si>
  <si>
    <t xml:space="preserve">https://mazaltov.walla.co.il</t>
  </si>
  <si>
    <r>
      <rPr>
        <sz val="11"/>
        <color theme="1"/>
        <rFont val="FreeSans"/>
        <family val="2"/>
      </rPr>
      <t xml:space="preserve">טרמינל קב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הבאר של סבא</t>
    </r>
  </si>
  <si>
    <t xml:space="preserve">900</t>
  </si>
  <si>
    <t xml:space="preserve">07-23932936</t>
  </si>
  <si>
    <r>
      <rPr>
        <sz val="11"/>
        <color theme="1"/>
        <rFont val="FreeSans"/>
        <family val="2"/>
      </rPr>
      <t xml:space="preserve">ויא </t>
    </r>
    <r>
      <rPr>
        <sz val="11"/>
        <color theme="1"/>
        <rFont val="Calibri"/>
        <family val="2"/>
        <charset val="1"/>
      </rPr>
      <t xml:space="preserve">Via</t>
    </r>
  </si>
  <si>
    <t xml:space="preserve">נס ציונה</t>
  </si>
  <si>
    <t xml:space="preserve">0722160325</t>
  </si>
  <si>
    <t xml:space="preserve">גבריאל</t>
  </si>
  <si>
    <t xml:space="preserve">0723319310</t>
  </si>
  <si>
    <r>
      <rPr>
        <sz val="11"/>
        <color theme="1"/>
        <rFont val="FreeSans"/>
        <family val="2"/>
      </rPr>
      <t xml:space="preserve">אמארה </t>
    </r>
    <r>
      <rPr>
        <sz val="11"/>
        <color theme="1"/>
        <rFont val="Calibri"/>
        <family val="2"/>
        <charset val="1"/>
      </rPr>
      <t xml:space="preserve">AMARE</t>
    </r>
  </si>
  <si>
    <t xml:space="preserve">0723302062</t>
  </si>
  <si>
    <t xml:space="preserve">באסיקו</t>
  </si>
  <si>
    <t xml:space="preserve">0723317734</t>
  </si>
  <si>
    <t xml:space="preserve">לילות קסומים</t>
  </si>
  <si>
    <t xml:space="preserve">קיבוץ חפץ חיים</t>
  </si>
  <si>
    <t xml:space="preserve">0722238254</t>
  </si>
  <si>
    <t xml:space="preserve">עדיה</t>
  </si>
  <si>
    <t xml:space="preserve">יבנה</t>
  </si>
  <si>
    <t xml:space="preserve">0722163776</t>
  </si>
  <si>
    <t xml:space="preserve">אלכסנדר</t>
  </si>
  <si>
    <t xml:space="preserve">0723300760</t>
  </si>
  <si>
    <r>
      <rPr>
        <sz val="11"/>
        <color theme="1"/>
        <rFont val="FreeSans"/>
        <family val="2"/>
      </rPr>
      <t xml:space="preserve">טרויה </t>
    </r>
    <r>
      <rPr>
        <sz val="11"/>
        <color theme="1"/>
        <rFont val="Calibri"/>
        <family val="2"/>
        <charset val="1"/>
      </rPr>
      <t xml:space="preserve">Troya</t>
    </r>
  </si>
  <si>
    <t xml:space="preserve">אשדוד</t>
  </si>
  <si>
    <t xml:space="preserve">דרום</t>
  </si>
  <si>
    <t xml:space="preserve">0722160279</t>
  </si>
  <si>
    <r>
      <rPr>
        <sz val="11"/>
        <color theme="1"/>
        <rFont val="Calibri"/>
        <family val="2"/>
        <charset val="1"/>
      </rPr>
      <t xml:space="preserve">NOÉ </t>
    </r>
    <r>
      <rPr>
        <sz val="11"/>
        <color theme="1"/>
        <rFont val="FreeSans"/>
        <family val="2"/>
      </rPr>
      <t xml:space="preserve">נואה</t>
    </r>
  </si>
  <si>
    <t xml:space="preserve">כנות</t>
  </si>
  <si>
    <t xml:space="preserve">0722160660</t>
  </si>
  <si>
    <t xml:space="preserve">קאי</t>
  </si>
  <si>
    <t xml:space="preserve">0723305177</t>
  </si>
  <si>
    <t xml:space="preserve">יונו קיסריה</t>
  </si>
  <si>
    <t xml:space="preserve">700</t>
  </si>
  <si>
    <t xml:space="preserve">0529098284</t>
  </si>
  <si>
    <r>
      <rPr>
        <sz val="11"/>
        <color theme="1"/>
        <rFont val="FreeSans"/>
        <family val="2"/>
      </rPr>
      <t xml:space="preserve">ווין </t>
    </r>
    <r>
      <rPr>
        <sz val="11"/>
        <color theme="1"/>
        <rFont val="Calibri"/>
        <family val="2"/>
        <charset val="1"/>
      </rPr>
      <t xml:space="preserve">WIN</t>
    </r>
  </si>
  <si>
    <t xml:space="preserve">0723300751</t>
  </si>
  <si>
    <r>
      <rPr>
        <sz val="11"/>
        <color theme="1"/>
        <rFont val="FreeSans"/>
        <family val="2"/>
      </rPr>
      <t xml:space="preserve">ג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ויה מיה</t>
    </r>
  </si>
  <si>
    <t xml:space="preserve">נחשונים</t>
  </si>
  <si>
    <t xml:space="preserve">0723304506</t>
  </si>
  <si>
    <t xml:space="preserve">חוות רונית</t>
  </si>
  <si>
    <t xml:space="preserve">געש</t>
  </si>
  <si>
    <t xml:space="preserve">0554539481</t>
  </si>
  <si>
    <t xml:space="preserve">הגן בשפיים</t>
  </si>
  <si>
    <t xml:space="preserve">שפיים</t>
  </si>
  <si>
    <t xml:space="preserve">0722163639</t>
  </si>
  <si>
    <t xml:space="preserve">דה גארדן</t>
  </si>
  <si>
    <t xml:space="preserve">נתניה</t>
  </si>
  <si>
    <t xml:space="preserve">0723303102</t>
  </si>
  <si>
    <t xml:space="preserve">הגלריה</t>
  </si>
  <si>
    <t xml:space="preserve">כפר ויתקין</t>
  </si>
  <si>
    <t xml:space="preserve">0722136673</t>
  </si>
  <si>
    <r>
      <rPr>
        <sz val="11"/>
        <color theme="1"/>
        <rFont val="FreeSans"/>
        <family val="2"/>
      </rPr>
      <t xml:space="preserve">לה ריין </t>
    </r>
    <r>
      <rPr>
        <sz val="11"/>
        <color theme="1"/>
        <rFont val="Calibri"/>
        <family val="2"/>
        <charset val="1"/>
      </rPr>
      <t xml:space="preserve">La Reine</t>
    </r>
  </si>
  <si>
    <t xml:space="preserve">0723307909</t>
  </si>
  <si>
    <t xml:space="preserve">על הים</t>
  </si>
  <si>
    <t xml:space="preserve">שדות ים</t>
  </si>
  <si>
    <t xml:space="preserve">0723303987</t>
  </si>
  <si>
    <r>
      <rPr>
        <sz val="11"/>
        <color theme="1"/>
        <rFont val="Calibri"/>
        <family val="2"/>
        <charset val="1"/>
      </rPr>
      <t xml:space="preserve">5.91 </t>
    </r>
    <r>
      <rPr>
        <sz val="11"/>
        <color theme="1"/>
        <rFont val="FreeSans"/>
        <family val="2"/>
      </rPr>
      <t xml:space="preserve">נתניה</t>
    </r>
  </si>
  <si>
    <t xml:space="preserve">0723305083</t>
  </si>
  <si>
    <t xml:space="preserve">כוכב הים</t>
  </si>
  <si>
    <t xml:space="preserve">0723303972</t>
  </si>
  <si>
    <r>
      <rPr>
        <sz val="11"/>
        <color theme="1"/>
        <rFont val="FreeSans"/>
        <family val="2"/>
      </rPr>
      <t xml:space="preserve">אלכסנדר 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FreeSans"/>
        <family val="2"/>
      </rPr>
      <t xml:space="preserve">גן אירועים</t>
    </r>
  </si>
  <si>
    <t xml:space="preserve">קדמא נווה אילן</t>
  </si>
  <si>
    <t xml:space="preserve">נווה אילן</t>
  </si>
  <si>
    <t xml:space="preserve">072-3300723</t>
  </si>
  <si>
    <t xml:space="preserve">מלון יהודה</t>
  </si>
  <si>
    <t xml:space="preserve">ירושלים</t>
  </si>
  <si>
    <t xml:space="preserve">072-2160275</t>
  </si>
  <si>
    <t xml:space="preserve">מומנטו</t>
  </si>
  <si>
    <t xml:space="preserve">072-3310622</t>
  </si>
  <si>
    <t xml:space="preserve">אטורה</t>
  </si>
  <si>
    <t xml:space="preserve">לטרון</t>
  </si>
  <si>
    <t xml:space="preserve">072-3300731</t>
  </si>
  <si>
    <t xml:space="preserve">שרון גן ואולם אירועים</t>
  </si>
  <si>
    <t xml:space="preserve">072-3300693</t>
  </si>
  <si>
    <t xml:space="preserve">סופיה</t>
  </si>
  <si>
    <t xml:space="preserve">072-3303977</t>
  </si>
  <si>
    <t xml:space="preserve">אמרלד</t>
  </si>
  <si>
    <t xml:space="preserve">950</t>
  </si>
  <si>
    <t xml:space="preserve">072-3307907</t>
  </si>
  <si>
    <t xml:space="preserve">עין חמד</t>
  </si>
  <si>
    <t xml:space="preserve">072-3300720</t>
  </si>
  <si>
    <t xml:space="preserve">הרמוזו</t>
  </si>
  <si>
    <t xml:space="preserve">מודיעין</t>
  </si>
  <si>
    <t xml:space="preserve">072-2160365</t>
  </si>
  <si>
    <t xml:space="preserve">RAIN</t>
  </si>
  <si>
    <t xml:space="preserve">ראשון לציון</t>
  </si>
  <si>
    <t xml:space="preserve">03-5224422</t>
  </si>
  <si>
    <t xml:space="preserve">https://hayedion.com</t>
  </si>
  <si>
    <r>
      <rPr>
        <sz val="11"/>
        <color theme="1"/>
        <rFont val="FreeSans"/>
        <family val="2"/>
      </rPr>
      <t xml:space="preserve">שלוש </t>
    </r>
    <r>
      <rPr>
        <sz val="11"/>
        <color theme="1"/>
        <rFont val="Calibri"/>
        <family val="2"/>
        <charset val="1"/>
      </rPr>
      <t xml:space="preserve">3</t>
    </r>
  </si>
  <si>
    <t xml:space="preserve">אור יהודה</t>
  </si>
  <si>
    <t xml:space="preserve">053-7229073</t>
  </si>
  <si>
    <t xml:space="preserve">לחיים</t>
  </si>
  <si>
    <t xml:space="preserve">קרית מלאכי</t>
  </si>
  <si>
    <t xml:space="preserve">050-7703111</t>
  </si>
  <si>
    <t xml:space="preserve">המוזיאון</t>
  </si>
  <si>
    <t xml:space="preserve">850</t>
  </si>
  <si>
    <t xml:space="preserve">03-5566333</t>
  </si>
  <si>
    <t xml:space="preserve">silver</t>
  </si>
  <si>
    <t xml:space="preserve">אשקלון</t>
  </si>
  <si>
    <t xml:space="preserve">054-6601919</t>
  </si>
  <si>
    <t xml:space="preserve">UPTOWN</t>
  </si>
  <si>
    <t xml:space="preserve">050-7772017</t>
  </si>
  <si>
    <t xml:space="preserve">770+</t>
  </si>
  <si>
    <r>
      <rPr>
        <sz val="11"/>
        <color theme="1"/>
        <rFont val="FreeSans"/>
        <family val="2"/>
      </rPr>
      <t xml:space="preserve">כפר חב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</t>
    </r>
  </si>
  <si>
    <t xml:space="preserve">052-8710602</t>
  </si>
  <si>
    <t xml:space="preserve">770hall@gmail.com</t>
  </si>
  <si>
    <t xml:space="preserve">לימה</t>
  </si>
  <si>
    <t xml:space="preserve">03-5598358</t>
  </si>
  <si>
    <t xml:space="preserve">בארוק אירועים</t>
  </si>
  <si>
    <t xml:space="preserve">רחובות</t>
  </si>
  <si>
    <t xml:space="preserve">052-8243838</t>
  </si>
  <si>
    <t xml:space="preserve">barok089976969@gmail.com</t>
  </si>
  <si>
    <t xml:space="preserve">בראשיתה</t>
  </si>
  <si>
    <t xml:space="preserve">077-7277969</t>
  </si>
  <si>
    <t xml:space="preserve">SHINE</t>
  </si>
  <si>
    <r>
      <rPr>
        <sz val="11"/>
        <color theme="1"/>
        <rFont val="FreeSans"/>
        <family val="2"/>
      </rPr>
      <t xml:space="preserve">בת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ים</t>
    </r>
  </si>
  <si>
    <t xml:space="preserve">03-5080999</t>
  </si>
  <si>
    <t xml:space="preserve">לאפייט</t>
  </si>
  <si>
    <t xml:space="preserve">לוד</t>
  </si>
  <si>
    <t xml:space="preserve">08-9222103</t>
  </si>
  <si>
    <t xml:space="preserve">בלוודר</t>
  </si>
  <si>
    <t xml:space="preserve">050-8225228</t>
  </si>
  <si>
    <t xml:space="preserve">אריסטו</t>
  </si>
  <si>
    <t xml:space="preserve">03-9413525</t>
  </si>
  <si>
    <t xml:space="preserve">ODEL</t>
  </si>
  <si>
    <t xml:space="preserve">03-9236353</t>
  </si>
  <si>
    <t xml:space="preserve">odel.events.pt@gmail.com</t>
  </si>
  <si>
    <t xml:space="preserve">sakura</t>
  </si>
  <si>
    <t xml:space="preserve">054-8313559</t>
  </si>
  <si>
    <t xml:space="preserve">תבל מרכז אירועים</t>
  </si>
  <si>
    <t xml:space="preserve">באר שבע</t>
  </si>
  <si>
    <t xml:space="preserve">08-610-5550</t>
  </si>
  <si>
    <t xml:space="preserve">https://www.b7net.co.il</t>
  </si>
  <si>
    <t xml:space="preserve">אולמי פפה מישל</t>
  </si>
  <si>
    <t xml:space="preserve">072-394-6308</t>
  </si>
  <si>
    <t xml:space="preserve">אולמי סלבדור</t>
  </si>
  <si>
    <t xml:space="preserve">08-6237753</t>
  </si>
  <si>
    <t xml:space="preserve">אולמי הנסיכה</t>
  </si>
  <si>
    <t xml:space="preserve">08-6236222</t>
  </si>
  <si>
    <t xml:space="preserve">הינומה גן אירועים</t>
  </si>
  <si>
    <t xml:space="preserve">08-6239752</t>
  </si>
  <si>
    <t xml:space="preserve">אולמי אנאבל</t>
  </si>
  <si>
    <t xml:space="preserve">08-6271696</t>
  </si>
  <si>
    <t xml:space="preserve">אליסה מתחם אירועים</t>
  </si>
  <si>
    <t xml:space="preserve">054-7304463</t>
  </si>
  <si>
    <t xml:space="preserve">גני אלכסנדר</t>
  </si>
  <si>
    <t xml:space="preserve">08-6589313</t>
  </si>
  <si>
    <r>
      <rPr>
        <sz val="11"/>
        <color theme="1"/>
        <rFont val="FreeSans"/>
        <family val="2"/>
      </rPr>
      <t xml:space="preserve">מרסל וניו </t>
    </r>
    <r>
      <rPr>
        <sz val="11"/>
        <color theme="1"/>
        <rFont val="Calibri"/>
        <family val="2"/>
        <charset val="1"/>
      </rPr>
      <t xml:space="preserve">Marcelle-venue</t>
    </r>
  </si>
  <si>
    <t xml:space="preserve">08-6650660</t>
  </si>
  <si>
    <t xml:space="preserve">מברוקה אוצרות מרוקו</t>
  </si>
  <si>
    <t xml:space="preserve">08-6450749</t>
  </si>
  <si>
    <t xml:space="preserve">אודיסאה</t>
  </si>
  <si>
    <t xml:space="preserve">1100</t>
  </si>
  <si>
    <t xml:space="preserve">08-6272730</t>
  </si>
  <si>
    <t xml:space="preserve">סמילנסקי בוטיק</t>
  </si>
  <si>
    <t xml:space="preserve">08-6277808</t>
  </si>
  <si>
    <t xml:space="preserve">ביאנקה</t>
  </si>
  <si>
    <t xml:space="preserve">08-6659991</t>
  </si>
  <si>
    <t xml:space="preserve">סופיה מתחם אירועים</t>
  </si>
  <si>
    <t xml:space="preserve">08-6238469</t>
  </si>
  <si>
    <t xml:space="preserve">אגמים</t>
  </si>
  <si>
    <t xml:space="preserve">08-6202500</t>
  </si>
  <si>
    <t xml:space="preserve">אולמי רויאל גרדן</t>
  </si>
  <si>
    <t xml:space="preserve">08-6650002</t>
  </si>
  <si>
    <r>
      <rPr>
        <sz val="11"/>
        <color theme="1"/>
        <rFont val="FreeSans"/>
        <family val="2"/>
      </rPr>
      <t xml:space="preserve">סיאלו </t>
    </r>
    <r>
      <rPr>
        <sz val="11"/>
        <color theme="1"/>
        <rFont val="Calibri"/>
        <family val="2"/>
        <charset val="1"/>
      </rPr>
      <t xml:space="preserve">cealio</t>
    </r>
  </si>
  <si>
    <t xml:space="preserve">08-6238444</t>
  </si>
  <si>
    <t xml:space="preserve">ארמון זהרה</t>
  </si>
  <si>
    <t xml:space="preserve">08-6232001</t>
  </si>
  <si>
    <t xml:space="preserve">נרניה מרכז אירועים</t>
  </si>
  <si>
    <t xml:space="preserve">1200</t>
  </si>
  <si>
    <t xml:space="preserve">08-6657775</t>
  </si>
  <si>
    <t xml:space="preserve">גני בראשית</t>
  </si>
  <si>
    <t xml:space="preserve">08-6460103</t>
  </si>
  <si>
    <r>
      <rPr>
        <sz val="11"/>
        <color theme="1"/>
        <rFont val="FreeSans"/>
        <family val="2"/>
      </rPr>
      <t xml:space="preserve">חצר בוצ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רי</t>
    </r>
  </si>
  <si>
    <t xml:space="preserve">08-6233370</t>
  </si>
  <si>
    <t xml:space="preserve">בארוק</t>
  </si>
  <si>
    <t xml:space="preserve">08-6281548</t>
  </si>
  <si>
    <t xml:space="preserve">אצולת העמק</t>
  </si>
  <si>
    <t xml:space="preserve">עפולה</t>
  </si>
  <si>
    <t xml:space="preserve">04-6597478</t>
  </si>
  <si>
    <t xml:space="preserve">https://peerhalls.com</t>
  </si>
  <si>
    <t xml:space="preserve">אולמי פאר</t>
  </si>
  <si>
    <t xml:space="preserve">אחוזת דוד בגלבוע</t>
  </si>
  <si>
    <t xml:space="preserve">מעלה גלבוע</t>
  </si>
  <si>
    <t xml:space="preserve">https://rotter.net</t>
  </si>
  <si>
    <t xml:space="preserve">בת הגלבוע</t>
  </si>
  <si>
    <t xml:space="preserve">https://rsrv.rest</t>
  </si>
  <si>
    <t xml:space="preserve">גולדה בחצר</t>
  </si>
  <si>
    <t xml:space="preserve">קיבוץ מרחביה</t>
  </si>
  <si>
    <t xml:space="preserve">כחול וירוק</t>
  </si>
  <si>
    <r>
      <rPr>
        <sz val="11"/>
        <color theme="1"/>
        <rFont val="FreeSans"/>
        <family val="2"/>
      </rPr>
      <t xml:space="preserve">תל עדשים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נצרת</t>
    </r>
  </si>
  <si>
    <t xml:space="preserve">550</t>
  </si>
  <si>
    <t xml:space="preserve">שישו ושמחו</t>
  </si>
  <si>
    <t xml:space="preserve">200</t>
  </si>
  <si>
    <t xml:space="preserve">אולמי האושר</t>
  </si>
  <si>
    <t xml:space="preserve">180</t>
  </si>
  <si>
    <r>
      <rPr>
        <sz val="11"/>
        <color theme="1"/>
        <rFont val="FreeSans"/>
        <family val="2"/>
      </rPr>
      <t xml:space="preserve">קאלה </t>
    </r>
    <r>
      <rPr>
        <sz val="11"/>
        <color theme="1"/>
        <rFont val="Calibri"/>
        <family val="2"/>
        <charset val="1"/>
      </rPr>
      <t xml:space="preserve">KALA</t>
    </r>
  </si>
  <si>
    <t xml:space="preserve">077-7298231</t>
  </si>
  <si>
    <t xml:space="preserve">https://www.kala.co.il</t>
  </si>
  <si>
    <t xml:space="preserve">אחוזת הכרמל</t>
  </si>
  <si>
    <t xml:space="preserve">https://www.d.co.il</t>
  </si>
  <si>
    <t xml:space="preserve">כרמלה</t>
  </si>
  <si>
    <t xml:space="preserve">קיבוץ יגור</t>
  </si>
  <si>
    <t xml:space="preserve">055-4539247</t>
  </si>
  <si>
    <t xml:space="preserve">https://iplan.co.il</t>
  </si>
  <si>
    <t xml:space="preserve">בית המוכתר</t>
  </si>
  <si>
    <t xml:space="preserve">זכרון יעקב</t>
  </si>
  <si>
    <t xml:space="preserve">170</t>
  </si>
  <si>
    <t xml:space="preserve">יקבי קיסריה</t>
  </si>
  <si>
    <t xml:space="preserve">240</t>
  </si>
  <si>
    <t xml:space="preserve">055-4539208</t>
  </si>
  <si>
    <r>
      <rPr>
        <sz val="11"/>
        <color theme="1"/>
        <rFont val="FreeSans"/>
        <family val="2"/>
      </rPr>
      <t xml:space="preserve">קאסטלו </t>
    </r>
    <r>
      <rPr>
        <sz val="11"/>
        <color theme="1"/>
        <rFont val="Calibri"/>
        <family val="2"/>
        <charset val="1"/>
      </rPr>
      <t xml:space="preserve">CASTELLO</t>
    </r>
  </si>
  <si>
    <t xml:space="preserve">עתלית</t>
  </si>
  <si>
    <t xml:space="preserve">400</t>
  </si>
  <si>
    <t xml:space="preserve">מרפסת</t>
  </si>
  <si>
    <t xml:space="preserve">רמת ישי</t>
  </si>
  <si>
    <t xml:space="preserve">250</t>
  </si>
  <si>
    <t xml:space="preserve">אצטדיון סמי עופר</t>
  </si>
  <si>
    <t xml:space="preserve">055-4539221</t>
  </si>
  <si>
    <t xml:space="preserve">סולם יעקב</t>
  </si>
  <si>
    <t xml:space="preserve">https://www.b144.co.il</t>
  </si>
  <si>
    <r>
      <rPr>
        <sz val="11"/>
        <color theme="1"/>
        <rFont val="FreeSans"/>
        <family val="2"/>
      </rPr>
      <t xml:space="preserve">קאלה </t>
    </r>
    <r>
      <rPr>
        <sz val="11"/>
        <color theme="1"/>
        <rFont val="Calibri"/>
        <family val="2"/>
        <charset val="1"/>
      </rPr>
      <t xml:space="preserve">KALA </t>
    </r>
    <r>
      <rPr>
        <sz val="11"/>
        <color theme="1"/>
        <rFont val="FreeSans"/>
        <family val="2"/>
      </rPr>
      <t xml:space="preserve">אולם מיטוס</t>
    </r>
  </si>
  <si>
    <t xml:space="preserve">אולמי אלמוג</t>
  </si>
  <si>
    <t xml:space="preserve">https://www.britot.co.il</t>
  </si>
  <si>
    <t xml:space="preserve">פליסיטי</t>
  </si>
  <si>
    <t xml:space="preserve">טירת הכרמל</t>
  </si>
  <si>
    <t xml:space="preserve">הינומה</t>
  </si>
  <si>
    <t xml:space="preserve">נשר</t>
  </si>
  <si>
    <t xml:space="preserve">אולמי כינורות סיאל</t>
  </si>
  <si>
    <t xml:space="preserve">500</t>
  </si>
  <si>
    <r>
      <rPr>
        <sz val="11"/>
        <color theme="1"/>
        <rFont val="FreeSans"/>
        <family val="2"/>
      </rPr>
      <t xml:space="preserve">בלה 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ופ</t>
    </r>
  </si>
  <si>
    <t xml:space="preserve">לבן אירועים</t>
  </si>
  <si>
    <r>
      <rPr>
        <sz val="11"/>
        <color theme="1"/>
        <rFont val="Calibri"/>
        <family val="2"/>
        <charset val="1"/>
      </rPr>
      <t xml:space="preserve">Factory </t>
    </r>
    <r>
      <rPr>
        <sz val="11"/>
        <color theme="1"/>
        <rFont val="FreeSans"/>
        <family val="2"/>
      </rPr>
      <t xml:space="preserve">חיפה</t>
    </r>
  </si>
  <si>
    <r>
      <rPr>
        <sz val="11"/>
        <color theme="1"/>
        <rFont val="FreeSans"/>
        <family val="2"/>
      </rPr>
      <t xml:space="preserve">ימה </t>
    </r>
    <r>
      <rPr>
        <sz val="11"/>
        <color theme="1"/>
        <rFont val="Calibri"/>
        <family val="2"/>
        <charset val="1"/>
      </rPr>
      <t xml:space="preserve">Yama</t>
    </r>
  </si>
  <si>
    <t xml:space="preserve">Benuz</t>
  </si>
  <si>
    <t xml:space="preserve">נועה הבית לאירועים</t>
  </si>
  <si>
    <t xml:space="preserve">https://halocation.co.il</t>
  </si>
  <si>
    <r>
      <rPr>
        <sz val="11"/>
        <color theme="1"/>
        <rFont val="FreeSans"/>
        <family val="2"/>
      </rPr>
      <t xml:space="preserve">גאלרי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FreeSans"/>
        <family val="2"/>
      </rPr>
      <t xml:space="preserve">אירועי בוטיק</t>
    </r>
  </si>
  <si>
    <r>
      <rPr>
        <sz val="11"/>
        <color theme="1"/>
        <rFont val="FreeSans"/>
        <family val="2"/>
      </rPr>
      <t xml:space="preserve">קלואה </t>
    </r>
    <r>
      <rPr>
        <sz val="11"/>
        <color theme="1"/>
        <rFont val="Calibri"/>
        <family val="2"/>
        <charset val="1"/>
      </rPr>
      <t xml:space="preserve">KALUA</t>
    </r>
  </si>
  <si>
    <t xml:space="preserve">אהובת הספן</t>
  </si>
  <si>
    <r>
      <rPr>
        <sz val="11"/>
        <color theme="1"/>
        <rFont val="FreeSans"/>
        <family val="2"/>
      </rPr>
      <t xml:space="preserve">אדאו </t>
    </r>
    <r>
      <rPr>
        <sz val="11"/>
        <color theme="1"/>
        <rFont val="Calibri"/>
        <family val="2"/>
        <charset val="1"/>
      </rPr>
      <t xml:space="preserve">ADEO</t>
    </r>
  </si>
  <si>
    <r>
      <rPr>
        <sz val="11"/>
        <color theme="1"/>
        <rFont val="FreeSans"/>
        <family val="2"/>
      </rPr>
      <t xml:space="preserve">טאו </t>
    </r>
    <r>
      <rPr>
        <sz val="11"/>
        <color theme="1"/>
        <rFont val="Calibri"/>
        <family val="2"/>
        <charset val="1"/>
      </rPr>
      <t xml:space="preserve">TAO</t>
    </r>
  </si>
  <si>
    <t xml:space="preserve">אדמה מתחם אירועים</t>
  </si>
  <si>
    <t xml:space="preserve">https://www.mazalday.com</t>
  </si>
  <si>
    <t xml:space="preserve">שרי אירועים</t>
  </si>
  <si>
    <t xml:space="preserve">יקבי גוש עציון כרם תמר</t>
  </si>
  <si>
    <t xml:space="preserve">אלון שבות</t>
  </si>
  <si>
    <t xml:space="preserve">אולמי בית ישראל</t>
  </si>
  <si>
    <t xml:space="preserve">Almora events</t>
  </si>
  <si>
    <t xml:space="preserve">האחוזה נתניה</t>
  </si>
  <si>
    <t xml:space="preserve">קדיתא עמק חפר</t>
  </si>
  <si>
    <t xml:space="preserve">תל יצחק אירועים</t>
  </si>
  <si>
    <r>
      <rPr>
        <sz val="11"/>
        <color theme="1"/>
        <rFont val="FreeSans"/>
        <family val="2"/>
      </rPr>
      <t xml:space="preserve">בית מלצ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ט</t>
    </r>
  </si>
  <si>
    <t xml:space="preserve">תל מונד</t>
  </si>
  <si>
    <t xml:space="preserve">סיטרוס גן אירועים</t>
  </si>
  <si>
    <t xml:space="preserve">Skali Events</t>
  </si>
  <si>
    <t xml:space="preserve">ערוגות בשם</t>
  </si>
  <si>
    <r>
      <rPr>
        <sz val="11"/>
        <color theme="1"/>
        <rFont val="FreeSans"/>
        <family val="2"/>
      </rPr>
      <t xml:space="preserve">אמיל בוטה </t>
    </r>
    <r>
      <rPr>
        <sz val="11"/>
        <color theme="1"/>
        <rFont val="Calibri"/>
        <family val="2"/>
        <charset val="1"/>
      </rPr>
      <t xml:space="preserve">Émile Botta</t>
    </r>
  </si>
  <si>
    <t xml:space="preserve">אולמי בראשית</t>
  </si>
  <si>
    <t xml:space="preserve">גן אירועים יארה</t>
  </si>
  <si>
    <t xml:space="preserve">0723307665</t>
  </si>
  <si>
    <t xml:space="preserve">וואלי מתחם אירועים</t>
  </si>
  <si>
    <t xml:space="preserve">כפר סבא</t>
  </si>
  <si>
    <t xml:space="preserve">אולמי שרון</t>
  </si>
  <si>
    <t xml:space="preserve">יקב נטוף</t>
  </si>
  <si>
    <t xml:space="preserve">שוהם</t>
  </si>
  <si>
    <t xml:space="preserve">Barukh Hamakom</t>
  </si>
  <si>
    <t xml:space="preserve">120</t>
  </si>
  <si>
    <t xml:space="preserve">אורכדיה</t>
  </si>
  <si>
    <t xml:space="preserve">וויו פויינט</t>
  </si>
  <si>
    <t xml:space="preserve">מלון טנטור ירושלים</t>
  </si>
  <si>
    <t xml:space="preserve">02-6753002</t>
  </si>
  <si>
    <t xml:space="preserve">בית ישראל אולם שמחות</t>
  </si>
  <si>
    <t xml:space="preserve">ארמונות אור</t>
  </si>
  <si>
    <t xml:space="preserve">חרדי</t>
  </si>
  <si>
    <t xml:space="preserve">לובר אולם אירועים</t>
  </si>
  <si>
    <r>
      <rPr>
        <sz val="11"/>
        <color theme="1"/>
        <rFont val="FreeSans"/>
        <family val="2"/>
      </rPr>
      <t xml:space="preserve">דתי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לאומי</t>
    </r>
  </si>
  <si>
    <t xml:space="preserve">אולמי מרקש</t>
  </si>
  <si>
    <t xml:space="preserve">פבליון אולם ארועים</t>
  </si>
  <si>
    <r>
      <rPr>
        <sz val="11"/>
        <color theme="1"/>
        <rFont val="FreeSans"/>
        <family val="2"/>
      </rPr>
      <t xml:space="preserve">לה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בל</t>
    </r>
  </si>
  <si>
    <t xml:space="preserve">גני המקראים</t>
  </si>
  <si>
    <t xml:space="preserve">יערה גן אירועים</t>
  </si>
  <si>
    <t xml:space="preserve">נס הרים</t>
  </si>
  <si>
    <t xml:space="preserve">076-8021007</t>
  </si>
  <si>
    <t xml:space="preserve">קמפוס ראדין</t>
  </si>
  <si>
    <t xml:space="preserve">מודיעין עילית</t>
  </si>
  <si>
    <t xml:space="preserve">גפנא אירועים מלון בוטיק</t>
  </si>
  <si>
    <t xml:space="preserve">בני ברק</t>
  </si>
  <si>
    <t xml:space="preserve">נוף הירדן</t>
  </si>
  <si>
    <t xml:space="preserve">מצפה יריחו</t>
  </si>
  <si>
    <t xml:space="preserve">עולמיא</t>
  </si>
  <si>
    <t xml:space="preserve">055-4539656</t>
  </si>
  <si>
    <t xml:space="preserve">האחוזה מודיעין</t>
  </si>
  <si>
    <t xml:space="preserve">טור סיני</t>
  </si>
  <si>
    <t xml:space="preserve">ולקאן</t>
  </si>
  <si>
    <t xml:space="preserve">https://volcanevents.co.il</t>
  </si>
  <si>
    <t xml:space="preserve">מלון ענבל ירושלים</t>
  </si>
  <si>
    <t xml:space="preserve">02-675-6710</t>
  </si>
  <si>
    <t xml:space="preserve">events@inbalhotel.com</t>
  </si>
  <si>
    <t xml:space="preserve">https://inbalhotel.co.il</t>
  </si>
  <si>
    <t xml:space="preserve">אנטריקוט</t>
  </si>
  <si>
    <t xml:space="preserve">דוריה מתחם אירועים</t>
  </si>
  <si>
    <t xml:space="preserve">שדה יואב</t>
  </si>
  <si>
    <t xml:space="preserve">נועה אירועים</t>
  </si>
  <si>
    <t xml:space="preserve">https://mekomot-eruim.co.il</t>
  </si>
  <si>
    <t xml:space="preserve">הילה אירועי בוטיק</t>
  </si>
  <si>
    <t xml:space="preserve">איווא אירועים</t>
  </si>
  <si>
    <t xml:space="preserve">80</t>
  </si>
  <si>
    <t xml:space="preserve">08-645-5222</t>
  </si>
  <si>
    <t xml:space="preserve">אהבתיה</t>
  </si>
  <si>
    <t xml:space="preserve">08-9255588</t>
  </si>
  <si>
    <t xml:space="preserve">גני שמשון</t>
  </si>
  <si>
    <t xml:space="preserve">אדורה</t>
  </si>
  <si>
    <t xml:space="preserve">דימונה</t>
  </si>
  <si>
    <t xml:space="preserve">072-3302575</t>
  </si>
  <si>
    <t xml:space="preserve">טליה אירועים</t>
  </si>
  <si>
    <t xml:space="preserve">073-7793083</t>
  </si>
  <si>
    <t xml:space="preserve">אורימא</t>
  </si>
  <si>
    <t xml:space="preserve">073-7028964</t>
  </si>
  <si>
    <r>
      <rPr>
        <sz val="11"/>
        <color theme="1"/>
        <rFont val="FreeSans"/>
        <family val="2"/>
      </rPr>
      <t xml:space="preserve">גלריה </t>
    </r>
    <r>
      <rPr>
        <sz val="11"/>
        <color theme="1"/>
        <rFont val="Calibri"/>
        <family val="2"/>
        <charset val="1"/>
      </rPr>
      <t xml:space="preserve">35</t>
    </r>
  </si>
  <si>
    <t xml:space="preserve">ממילא</t>
  </si>
  <si>
    <t xml:space="preserve">ארבע עונות</t>
  </si>
  <si>
    <t xml:space="preserve">קיבוץ ברור חיל</t>
  </si>
  <si>
    <t xml:space="preserve">https://www.arba-onot.co.il</t>
  </si>
  <si>
    <r>
      <rPr>
        <sz val="11"/>
        <color theme="1"/>
        <rFont val="FreeSans"/>
        <family val="2"/>
      </rPr>
      <t xml:space="preserve">אל ים </t>
    </r>
    <r>
      <rPr>
        <sz val="11"/>
        <color theme="1"/>
        <rFont val="Calibri"/>
        <family val="2"/>
        <charset val="1"/>
      </rPr>
      <t xml:space="preserve">EL-YAM</t>
    </r>
  </si>
  <si>
    <t xml:space="preserve">052-9120657</t>
  </si>
  <si>
    <t xml:space="preserve">פבריקה</t>
  </si>
  <si>
    <t xml:space="preserve">280</t>
  </si>
  <si>
    <t xml:space="preserve">072-3307456</t>
  </si>
  <si>
    <t xml:space="preserve">אבן בלב שמורת הטבע</t>
  </si>
  <si>
    <t xml:space="preserve">073-7599383</t>
  </si>
  <si>
    <t xml:space="preserve">תיאודור הרצליה</t>
  </si>
  <si>
    <t xml:space="preserve">הרצליה</t>
  </si>
  <si>
    <t xml:space="preserve">350</t>
  </si>
  <si>
    <t xml:space="preserve">072-3319390</t>
  </si>
  <si>
    <t xml:space="preserve">לואי</t>
  </si>
  <si>
    <t xml:space="preserve">פרדסיה</t>
  </si>
  <si>
    <t xml:space="preserve">160</t>
  </si>
  <si>
    <t xml:space="preserve">073-7575899</t>
  </si>
  <si>
    <t xml:space="preserve">וילה קיארה</t>
  </si>
  <si>
    <t xml:space="preserve">220</t>
  </si>
  <si>
    <t xml:space="preserve">052-9126376</t>
  </si>
  <si>
    <t xml:space="preserve">כרם לאירועים</t>
  </si>
  <si>
    <t xml:space="preserve">072-2158236</t>
  </si>
  <si>
    <t xml:space="preserve">יקב גארדן</t>
  </si>
  <si>
    <t xml:space="preserve">150</t>
  </si>
  <si>
    <t xml:space="preserve">072-2160081</t>
  </si>
  <si>
    <t xml:space="preserve">רחוב ירושלמי</t>
  </si>
  <si>
    <t xml:space="preserve">קרקו אירועים</t>
  </si>
  <si>
    <t xml:space="preserve">Sakoya</t>
  </si>
  <si>
    <t xml:space="preserve">מעלה החמישה</t>
  </si>
  <si>
    <t xml:space="preserve">חוות כרם דוד</t>
  </si>
  <si>
    <t xml:space="preserve">גליל עליון</t>
  </si>
  <si>
    <t xml:space="preserve">גרקו הכשרה</t>
  </si>
  <si>
    <t xml:space="preserve">תל אביב</t>
  </si>
  <si>
    <t xml:space="preserve">הקאסה יפו</t>
  </si>
  <si>
    <t xml:space="preserve">יפו</t>
  </si>
  <si>
    <t xml:space="preserve">אליטה אירועי בוטיק</t>
  </si>
  <si>
    <t xml:space="preserve">אור עקיבא</t>
  </si>
  <si>
    <t xml:space="preserve">גן עצי הפרי</t>
  </si>
  <si>
    <t xml:space="preserve">לימאי אירועים</t>
  </si>
  <si>
    <r>
      <rPr>
        <sz val="11"/>
        <color theme="1"/>
        <rFont val="FreeSans"/>
        <family val="2"/>
      </rPr>
      <t xml:space="preserve">ויטראז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מרכז אירועים</t>
    </r>
  </si>
  <si>
    <t xml:space="preserve">ארשלם אירועים</t>
  </si>
  <si>
    <t xml:space="preserve">מלון לה קפלה</t>
  </si>
  <si>
    <t xml:space="preserve">Beeper</t>
  </si>
  <si>
    <t xml:space="preserve">Wide Open</t>
  </si>
  <si>
    <t xml:space="preserve">קולוניה</t>
  </si>
  <si>
    <t xml:space="preserve">הפרדס</t>
  </si>
  <si>
    <t xml:space="preserve">650</t>
  </si>
  <si>
    <t xml:space="preserve">גושן</t>
  </si>
  <si>
    <t xml:space="preserve">טוסקנה בנימינה</t>
  </si>
  <si>
    <t xml:space="preserve">אביגדור</t>
  </si>
  <si>
    <t xml:space="preserve">ACOSTA</t>
  </si>
  <si>
    <t xml:space="preserve">רפאל אירועים</t>
  </si>
  <si>
    <t xml:space="preserve">Pablo</t>
  </si>
  <si>
    <t xml:space="preserve">Camilo</t>
  </si>
  <si>
    <t xml:space="preserve">יורדי הסירה</t>
  </si>
  <si>
    <t xml:space="preserve">Peer Halls</t>
  </si>
  <si>
    <t xml:space="preserve">Volcan</t>
  </si>
  <si>
    <t xml:space="preserve">Lumiere</t>
  </si>
  <si>
    <r>
      <rPr>
        <sz val="11"/>
        <color theme="1"/>
        <rFont val="Calibri"/>
        <family val="2"/>
        <charset val="1"/>
      </rPr>
      <t xml:space="preserve">Solis </t>
    </r>
    <r>
      <rPr>
        <sz val="11"/>
        <color theme="1"/>
        <rFont val="FreeSans"/>
        <family val="2"/>
      </rPr>
      <t xml:space="preserve">מעלה אדומים</t>
    </r>
  </si>
  <si>
    <t xml:space="preserve">מעלה אדומים</t>
  </si>
  <si>
    <t xml:space="preserve">Tesoro</t>
  </si>
  <si>
    <t xml:space="preserve">רמת השרון</t>
  </si>
  <si>
    <t xml:space="preserve">ארמונותיה</t>
  </si>
  <si>
    <t xml:space="preserve">בת ים</t>
  </si>
  <si>
    <t xml:space="preserve">Terminal</t>
  </si>
  <si>
    <r>
      <rPr>
        <sz val="11"/>
        <color theme="1"/>
        <rFont val="Calibri"/>
        <family val="2"/>
        <charset val="1"/>
      </rPr>
      <t xml:space="preserve">Eve </t>
    </r>
    <r>
      <rPr>
        <sz val="11"/>
        <color theme="1"/>
        <rFont val="FreeSans"/>
        <family val="2"/>
      </rPr>
      <t xml:space="preserve">תל אביב</t>
    </r>
  </si>
  <si>
    <t xml:space="preserve">מרפסה בני ברק</t>
  </si>
  <si>
    <t xml:space="preserve">Olympia</t>
  </si>
  <si>
    <t xml:space="preserve">ELYA</t>
  </si>
  <si>
    <t xml:space="preserve">בית השמחות</t>
  </si>
  <si>
    <t xml:space="preserve">היכלי מלכות</t>
  </si>
  <si>
    <t xml:space="preserve">Afeka</t>
  </si>
  <si>
    <r>
      <rPr>
        <sz val="11"/>
        <color theme="1"/>
        <rFont val="Calibri"/>
        <family val="2"/>
        <charset val="1"/>
      </rPr>
      <t xml:space="preserve">Bellagio </t>
    </r>
    <r>
      <rPr>
        <sz val="11"/>
        <color theme="1"/>
        <rFont val="FreeSans"/>
        <family val="2"/>
      </rPr>
      <t xml:space="preserve">בת ים</t>
    </r>
  </si>
  <si>
    <t xml:space="preserve">1400</t>
  </si>
  <si>
    <t xml:space="preserve">Dan Panorama TA</t>
  </si>
  <si>
    <t xml:space="preserve">ונישן</t>
  </si>
  <si>
    <t xml:space="preserve">https://10comm.com</t>
  </si>
  <si>
    <r>
      <rPr>
        <sz val="11"/>
        <color theme="1"/>
        <rFont val="FreeSans"/>
        <family val="2"/>
      </rPr>
      <t xml:space="preserve">קליי </t>
    </r>
    <r>
      <rPr>
        <sz val="11"/>
        <color theme="1"/>
        <rFont val="Calibri"/>
        <family val="2"/>
        <charset val="1"/>
      </rPr>
      <t xml:space="preserve">CLAY</t>
    </r>
  </si>
  <si>
    <t xml:space="preserve">אולמי ריה</t>
  </si>
  <si>
    <r>
      <rPr>
        <sz val="11"/>
        <color theme="1"/>
        <rFont val="FreeSans"/>
        <family val="2"/>
      </rPr>
      <t xml:space="preserve">דרזנר </t>
    </r>
    <r>
      <rPr>
        <sz val="11"/>
        <color theme="1"/>
        <rFont val="Calibri"/>
        <family val="2"/>
        <charset val="1"/>
      </rPr>
      <t xml:space="preserve">5</t>
    </r>
  </si>
  <si>
    <t xml:space="preserve">האחוזה נתניה ב</t>
  </si>
  <si>
    <t xml:space="preserve">הודיה אירועים</t>
  </si>
  <si>
    <t xml:space="preserve">לומייר</t>
  </si>
  <si>
    <t xml:space="preserve">הדריה</t>
  </si>
  <si>
    <t xml:space="preserve">DCity DCITY</t>
  </si>
  <si>
    <t xml:space="preserve">2500</t>
  </si>
  <si>
    <t xml:space="preserve">ארטיסטה</t>
  </si>
  <si>
    <t xml:space="preserve">אקפלה</t>
  </si>
  <si>
    <t xml:space="preserve">230</t>
  </si>
  <si>
    <r>
      <rPr>
        <sz val="11"/>
        <color theme="1"/>
        <rFont val="FreeSans"/>
        <family val="2"/>
      </rPr>
      <t xml:space="preserve">עלמרי </t>
    </r>
    <r>
      <rPr>
        <sz val="11"/>
        <color theme="1"/>
        <rFont val="Calibri"/>
        <family val="2"/>
        <charset val="1"/>
      </rPr>
      <t xml:space="preserve">ALMARE</t>
    </r>
  </si>
  <si>
    <t xml:space="preserve">סיה אירועים</t>
  </si>
  <si>
    <r>
      <rPr>
        <sz val="11"/>
        <color theme="1"/>
        <rFont val="FreeSans"/>
        <family val="2"/>
      </rPr>
      <t xml:space="preserve">רוקה </t>
    </r>
    <r>
      <rPr>
        <sz val="11"/>
        <color theme="1"/>
        <rFont val="Calibri"/>
        <family val="2"/>
        <charset val="1"/>
      </rPr>
      <t xml:space="preserve">ROCCA</t>
    </r>
  </si>
  <si>
    <t xml:space="preserve">סנטוריני וילה</t>
  </si>
  <si>
    <t xml:space="preserve">גן יבנה</t>
  </si>
  <si>
    <t xml:space="preserve">וילה לבנדר בגלבוע</t>
  </si>
  <si>
    <t xml:space="preserve">מושב נורית</t>
  </si>
  <si>
    <t xml:space="preserve">בית הדבש</t>
  </si>
  <si>
    <t xml:space="preserve">חוות אמנות בעין הוד</t>
  </si>
  <si>
    <t xml:space="preserve">עין הוד</t>
  </si>
  <si>
    <t xml:space="preserve">https://www.hafakot.co.il</t>
  </si>
  <si>
    <t xml:space="preserve">בריכות לאירועים גליל מערבי</t>
  </si>
  <si>
    <t xml:space="preserve">גליל מערבי</t>
  </si>
  <si>
    <t xml:space="preserve">קסם הנוף מגדל</t>
  </si>
  <si>
    <t xml:space="preserve">מגדל</t>
  </si>
  <si>
    <t xml:space="preserve">מלון הושבה</t>
  </si>
  <si>
    <t xml:space="preserve">כפר תבור</t>
  </si>
  <si>
    <t xml:space="preserve">מלון קיבוץ לביא</t>
  </si>
  <si>
    <t xml:space="preserve">לביא</t>
  </si>
  <si>
    <r>
      <rPr>
        <sz val="11"/>
        <color theme="1"/>
        <rFont val="FreeSans"/>
        <family val="2"/>
      </rPr>
      <t xml:space="preserve">אולמי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FreeSans"/>
        <family val="2"/>
      </rPr>
      <t xml:space="preserve">הילס</t>
    </r>
  </si>
  <si>
    <t xml:space="preserve">https://www.openclosed.co.il</t>
  </si>
  <si>
    <t xml:space="preserve">שמורתה גן אירועים צפון</t>
  </si>
  <si>
    <t xml:space="preserve">אולמי פאר בראשית</t>
  </si>
  <si>
    <r>
      <rPr>
        <sz val="11"/>
        <color theme="1"/>
        <rFont val="Calibri"/>
        <family val="2"/>
        <charset val="1"/>
      </rPr>
      <t xml:space="preserve">RED </t>
    </r>
    <r>
      <rPr>
        <sz val="11"/>
        <color theme="1"/>
        <rFont val="FreeSans"/>
        <family val="2"/>
      </rPr>
      <t xml:space="preserve">אולם</t>
    </r>
  </si>
  <si>
    <t xml:space="preserve">תל עדשים</t>
  </si>
  <si>
    <t xml:space="preserve">גן אירועים אחוזת דוברובין</t>
  </si>
  <si>
    <t xml:space="preserve">נוף ציפורי גן</t>
  </si>
  <si>
    <t xml:space="preserve">הושעיה</t>
  </si>
  <si>
    <t xml:space="preserve">סיטי הול</t>
  </si>
  <si>
    <t xml:space="preserve">מלון יהודה ב</t>
  </si>
  <si>
    <t xml:space="preserve">קסיופיאה</t>
  </si>
  <si>
    <t xml:space="preserve">דימול פלטינום</t>
  </si>
  <si>
    <t xml:space="preserve">רמת גן</t>
  </si>
  <si>
    <t xml:space="preserve">שמים וארץ</t>
  </si>
  <si>
    <t xml:space="preserve">בית הראשונים</t>
  </si>
  <si>
    <t xml:space="preserve">מלון יהודה ג</t>
  </si>
  <si>
    <t xml:space="preserve">טרה רוסה</t>
  </si>
  <si>
    <t xml:space="preserve">Pop and Pope</t>
  </si>
  <si>
    <r>
      <rPr>
        <sz val="11"/>
        <color theme="1"/>
        <rFont val="FreeSans"/>
        <family val="2"/>
      </rPr>
      <t xml:space="preserve">מונדו </t>
    </r>
    <r>
      <rPr>
        <sz val="11"/>
        <color theme="1"/>
        <rFont val="Calibri"/>
        <family val="2"/>
        <charset val="1"/>
      </rPr>
      <t xml:space="preserve">MONDO 2000</t>
    </r>
  </si>
  <si>
    <t xml:space="preserve">07-23909969</t>
  </si>
  <si>
    <r>
      <rPr>
        <sz val="11"/>
        <color theme="1"/>
        <rFont val="Calibri"/>
        <family val="2"/>
        <charset val="1"/>
      </rPr>
      <t xml:space="preserve">EVE </t>
    </r>
    <r>
      <rPr>
        <sz val="11"/>
        <color theme="1"/>
        <rFont val="FreeSans"/>
        <family val="2"/>
      </rPr>
      <t xml:space="preserve">תל אביב</t>
    </r>
  </si>
  <si>
    <t xml:space="preserve">ואסקו</t>
  </si>
  <si>
    <t xml:space="preserve">07-23971549</t>
  </si>
  <si>
    <t xml:space="preserve">אריא</t>
  </si>
  <si>
    <t xml:space="preserve">https://urbanbridesmag.co.il</t>
  </si>
  <si>
    <t xml:space="preserve">L1TLV</t>
  </si>
  <si>
    <t xml:space="preserve">סורא מארה</t>
  </si>
  <si>
    <r>
      <rPr>
        <sz val="11"/>
        <color theme="1"/>
        <rFont val="FreeSans"/>
        <family val="2"/>
      </rPr>
      <t xml:space="preserve">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יטה ורדה</t>
    </r>
  </si>
  <si>
    <t xml:space="preserve">רוקח</t>
  </si>
  <si>
    <t xml:space="preserve">גלריה נור</t>
  </si>
  <si>
    <t xml:space="preserve">שרביה יפו</t>
  </si>
  <si>
    <t xml:space="preserve">5.91 Beach House</t>
  </si>
  <si>
    <r>
      <rPr>
        <sz val="11"/>
        <color theme="1"/>
        <rFont val="Calibri"/>
        <family val="2"/>
        <charset val="1"/>
      </rPr>
      <t xml:space="preserve">CYRUS </t>
    </r>
    <r>
      <rPr>
        <sz val="11"/>
        <color theme="1"/>
        <rFont val="FreeSans"/>
        <family val="2"/>
      </rPr>
      <t xml:space="preserve">עמק חפר</t>
    </r>
  </si>
  <si>
    <t xml:space="preserve">מתחם אחוזת סנדרין</t>
  </si>
  <si>
    <t xml:space="preserve">רגבה</t>
  </si>
  <si>
    <t xml:space="preserve">גן הבריכה</t>
  </si>
  <si>
    <t xml:space="preserve">כפר המכבי</t>
  </si>
  <si>
    <t xml:space="preserve">אולמי אלראביה</t>
  </si>
  <si>
    <t xml:space="preserve">מעיליא</t>
  </si>
  <si>
    <t xml:space="preserve">אולמי גלורי</t>
  </si>
  <si>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FreeSans"/>
        <family val="2"/>
      </rPr>
      <t xml:space="preserve">חיפה</t>
    </r>
  </si>
  <si>
    <t xml:space="preserve">אולמי המשכן</t>
  </si>
  <si>
    <t xml:space="preserve">קרית ים</t>
  </si>
  <si>
    <t xml:space="preserve">ירוק על המים</t>
  </si>
  <si>
    <t xml:space="preserve">חולדה</t>
  </si>
  <si>
    <t xml:space="preserve">גני דלוינו</t>
  </si>
  <si>
    <t xml:space="preserve">ארמונות לב המחודשים</t>
  </si>
  <si>
    <r>
      <rPr>
        <sz val="11"/>
        <color theme="1"/>
        <rFont val="FreeSans"/>
        <family val="2"/>
      </rPr>
      <t xml:space="preserve">גני אליזה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רוקה</t>
    </r>
  </si>
  <si>
    <t xml:space="preserve">מסעדת מנהטן</t>
  </si>
  <si>
    <t xml:space="preserve">שורשים</t>
  </si>
  <si>
    <t xml:space="preserve">יהוד</t>
  </si>
  <si>
    <t xml:space="preserve">בית האופרה אשדוד</t>
  </si>
  <si>
    <t xml:space="preserve">גני דניאל דימונה</t>
  </si>
  <si>
    <t xml:space="preserve">https://easy.co.il</t>
  </si>
  <si>
    <t xml:space="preserve">אולם אידאה</t>
  </si>
  <si>
    <t xml:space="preserve">אולמי בית שלמה</t>
  </si>
  <si>
    <t xml:space="preserve">אולמי אמרלד בית שמש</t>
  </si>
  <si>
    <t xml:space="preserve">אולמי פארהנד</t>
  </si>
  <si>
    <t xml:space="preserve">אולמי כינור דוד</t>
  </si>
  <si>
    <t xml:space="preserve">מתחם סהרה</t>
  </si>
  <si>
    <t xml:space="preserve">בת עין</t>
  </si>
  <si>
    <t xml:space="preserve">אוביליון כנסים</t>
  </si>
  <si>
    <t xml:space="preserve">קלרה בית לאירועים</t>
  </si>
  <si>
    <t xml:space="preserve">קרית גת</t>
  </si>
  <si>
    <t xml:space="preserve">רב טובך</t>
  </si>
  <si>
    <r>
      <rPr>
        <sz val="11"/>
        <color theme="1"/>
        <rFont val="Calibri"/>
        <family val="2"/>
        <charset val="1"/>
      </rPr>
      <t xml:space="preserve">WIDE OPEN </t>
    </r>
    <r>
      <rPr>
        <sz val="11"/>
        <color theme="1"/>
        <rFont val="FreeSans"/>
        <family val="2"/>
      </rPr>
      <t xml:space="preserve">רמת ישי</t>
    </r>
  </si>
  <si>
    <t xml:space="preserve">ביסטרו הכרמל</t>
  </si>
  <si>
    <t xml:space="preserve">בית המוכתר זכרון</t>
  </si>
  <si>
    <r>
      <rPr>
        <sz val="11"/>
        <color theme="1"/>
        <rFont val="Calibri"/>
        <family val="2"/>
        <charset val="1"/>
      </rPr>
      <t xml:space="preserve">Mataim </t>
    </r>
    <r>
      <rPr>
        <sz val="11"/>
        <color theme="1"/>
        <rFont val="FreeSans"/>
        <family val="2"/>
      </rPr>
      <t xml:space="preserve">זכרון</t>
    </r>
  </si>
  <si>
    <r>
      <rPr>
        <sz val="11"/>
        <color theme="1"/>
        <rFont val="Calibri"/>
        <family val="2"/>
        <charset val="1"/>
      </rPr>
      <t xml:space="preserve">Tel-Ya </t>
    </r>
    <r>
      <rPr>
        <sz val="11"/>
        <color theme="1"/>
        <rFont val="FreeSans"/>
        <family val="2"/>
      </rPr>
      <t xml:space="preserve">נתניה</t>
    </r>
  </si>
  <si>
    <r>
      <rPr>
        <sz val="11"/>
        <color theme="1"/>
        <rFont val="Calibri"/>
        <family val="2"/>
        <charset val="1"/>
      </rPr>
      <t xml:space="preserve">Olamey de Garden </t>
    </r>
    <r>
      <rPr>
        <sz val="11"/>
        <color theme="1"/>
        <rFont val="FreeSans"/>
        <family val="2"/>
      </rPr>
      <t xml:space="preserve">נתניה</t>
    </r>
  </si>
  <si>
    <r>
      <rPr>
        <sz val="11"/>
        <color theme="1"/>
        <rFont val="Calibri"/>
        <family val="2"/>
        <charset val="1"/>
      </rPr>
      <t xml:space="preserve">Hakerem VIP </t>
    </r>
    <r>
      <rPr>
        <sz val="11"/>
        <color theme="1"/>
        <rFont val="FreeSans"/>
        <family val="2"/>
      </rPr>
      <t xml:space="preserve">נתניה</t>
    </r>
  </si>
  <si>
    <t xml:space="preserve">חצרות הסולטן</t>
  </si>
  <si>
    <r>
      <rPr>
        <sz val="11"/>
        <color theme="1"/>
        <rFont val="FreeSans"/>
        <family val="2"/>
      </rPr>
      <t xml:space="preserve">גלריה </t>
    </r>
    <r>
      <rPr>
        <sz val="11"/>
        <color theme="1"/>
        <rFont val="Calibri"/>
        <family val="2"/>
        <charset val="1"/>
      </rPr>
      <t xml:space="preserve">279</t>
    </r>
  </si>
  <si>
    <t xml:space="preserve">בנוז אירועים</t>
  </si>
  <si>
    <t xml:space="preserve">אתנחתא</t>
  </si>
  <si>
    <t xml:space="preserve">עתיקה אירועים</t>
  </si>
  <si>
    <t xml:space="preserve">קרית ביאליק</t>
  </si>
  <si>
    <t xml:space="preserve">בית הסטייק</t>
  </si>
  <si>
    <r>
      <rPr>
        <sz val="11"/>
        <color theme="1"/>
        <rFont val="Calibri"/>
        <family val="2"/>
        <charset val="1"/>
      </rPr>
      <t xml:space="preserve">Hakerem </t>
    </r>
    <r>
      <rPr>
        <sz val="11"/>
        <color theme="1"/>
        <rFont val="FreeSans"/>
        <family val="2"/>
      </rPr>
      <t xml:space="preserve">נתניה</t>
    </r>
  </si>
  <si>
    <r>
      <rPr>
        <sz val="11"/>
        <color theme="1"/>
        <rFont val="Calibri"/>
        <family val="2"/>
        <charset val="1"/>
      </rPr>
      <t xml:space="preserve">ALMORA </t>
    </r>
    <r>
      <rPr>
        <sz val="11"/>
        <color theme="1"/>
        <rFont val="FreeSans"/>
        <family val="2"/>
      </rPr>
      <t xml:space="preserve">אירועים</t>
    </r>
  </si>
  <si>
    <t xml:space="preserve">KO HOTEL</t>
  </si>
  <si>
    <t xml:space="preserve">270</t>
  </si>
  <si>
    <r>
      <rPr>
        <sz val="11"/>
        <color theme="1"/>
        <rFont val="FreeSans"/>
        <family val="2"/>
      </rPr>
      <t xml:space="preserve">נועל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ה כפר סבא</t>
    </r>
  </si>
  <si>
    <r>
      <rPr>
        <sz val="11"/>
        <color theme="1"/>
        <rFont val="FreeSans"/>
        <family val="2"/>
      </rPr>
      <t xml:space="preserve">נועל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ה רעננה</t>
    </r>
  </si>
  <si>
    <r>
      <rPr>
        <sz val="11"/>
        <color theme="1"/>
        <rFont val="FreeSans"/>
        <family val="2"/>
      </rPr>
      <t xml:space="preserve">עלמרי </t>
    </r>
    <r>
      <rPr>
        <sz val="11"/>
        <color theme="1"/>
        <rFont val="Calibri"/>
        <family val="2"/>
        <charset val="1"/>
      </rPr>
      <t xml:space="preserve">Almare</t>
    </r>
  </si>
  <si>
    <t xml:space="preserve">מייפל גן אירועים</t>
  </si>
  <si>
    <t xml:space="preserve">פראיסו אירועים</t>
  </si>
  <si>
    <t xml:space="preserve">אוריאנה אירועים</t>
  </si>
  <si>
    <t xml:space="preserve">אקפלה נתניה</t>
  </si>
  <si>
    <t xml:space="preserve">אואזיס חדרה</t>
  </si>
  <si>
    <t xml:space="preserve">ויגו אירועים</t>
  </si>
  <si>
    <r>
      <rPr>
        <sz val="11"/>
        <color theme="1"/>
        <rFont val="Calibri"/>
        <family val="2"/>
        <charset val="1"/>
      </rPr>
      <t xml:space="preserve">Sakoya </t>
    </r>
    <r>
      <rPr>
        <sz val="11"/>
        <color theme="1"/>
        <rFont val="FreeSans"/>
        <family val="2"/>
      </rPr>
      <t xml:space="preserve">מעלה החמישה</t>
    </r>
  </si>
  <si>
    <t xml:space="preserve">מתחם ביאנקיני ים המלח</t>
  </si>
  <si>
    <t xml:space="preserve">ים המלח</t>
  </si>
  <si>
    <t xml:space="preserve">ויגו חולון</t>
  </si>
  <si>
    <r>
      <rPr>
        <sz val="11"/>
        <color theme="1"/>
        <rFont val="Calibri"/>
        <family val="2"/>
        <charset val="1"/>
      </rPr>
      <t xml:space="preserve">VISION </t>
    </r>
    <r>
      <rPr>
        <sz val="11"/>
        <color theme="1"/>
        <rFont val="FreeSans"/>
        <family val="2"/>
      </rPr>
      <t xml:space="preserve">הגן באורה</t>
    </r>
  </si>
  <si>
    <t xml:space="preserve">אורה</t>
  </si>
  <si>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FreeSans"/>
        <family val="2"/>
      </rPr>
      <t xml:space="preserve">אירועי בוטיק</t>
    </r>
  </si>
  <si>
    <t xml:space="preserve">סקויה אולם אירועים</t>
  </si>
  <si>
    <t xml:space="preserve">הבוסתן</t>
  </si>
  <si>
    <t xml:space="preserve">אבו גוש</t>
  </si>
  <si>
    <t xml:space="preserve">שאטו אולם אירועים</t>
  </si>
  <si>
    <t xml:space="preserve">אולמי נצח ישראל</t>
  </si>
  <si>
    <t xml:space="preserve">אולמות אירועים קרית שמונה</t>
  </si>
  <si>
    <t xml:space="preserve">קרית שמונה</t>
  </si>
  <si>
    <t xml:space="preserve">תרין</t>
  </si>
  <si>
    <t xml:space="preserve">Awadieh Halls</t>
  </si>
  <si>
    <r>
      <rPr>
        <i val="true"/>
        <sz val="9"/>
        <color rgb="FF666666"/>
        <rFont val="FreeSans"/>
        <family val="2"/>
      </rPr>
      <t xml:space="preserve">מקורות</t>
    </r>
    <r>
      <rPr>
        <i val="true"/>
        <sz val="9"/>
        <color rgb="FF666666"/>
        <rFont val="Calibri"/>
        <family val="0"/>
        <charset val="1"/>
      </rPr>
      <t xml:space="preserve">: mit4mit.co.il, mazaltov.walla.co.il, mazalday.com, b144.co.il, b7net.co.il, mekomot-eruim.co.il, iplan.co.il, halocation.co.il, allplaces.co.il </t>
    </r>
    <r>
      <rPr>
        <i val="true"/>
        <sz val="9"/>
        <color rgb="FF666666"/>
        <rFont val="FreeSans"/>
        <family val="2"/>
      </rPr>
      <t xml:space="preserve">ועוד </t>
    </r>
    <r>
      <rPr>
        <i val="true"/>
        <sz val="9"/>
        <color rgb="FF666666"/>
        <rFont val="Calibri"/>
        <family val="0"/>
        <charset val="1"/>
      </rPr>
      <t xml:space="preserve">(</t>
    </r>
    <r>
      <rPr>
        <i val="true"/>
        <sz val="9"/>
        <color rgb="FF666666"/>
        <rFont val="FreeSans"/>
        <family val="2"/>
      </rPr>
      <t xml:space="preserve">ראו גיליון מקורות</t>
    </r>
    <r>
      <rPr>
        <i val="true"/>
        <sz val="9"/>
        <color rgb="FF666666"/>
        <rFont val="Calibri"/>
        <family val="0"/>
        <charset val="1"/>
      </rPr>
      <t xml:space="preserve">).</t>
    </r>
  </si>
  <si>
    <t xml:space="preserve">נתוני שוק האירועים והחתונות בישראל | 2025-2026</t>
  </si>
  <si>
    <t xml:space="preserve">הנתונים משלבים מקורות ציבוריים רשמיים, אתרי ענף וכתבות צרכניות. כל נתון מסומן במקור.</t>
  </si>
  <si>
    <t xml:space="preserve">נושא</t>
  </si>
  <si>
    <t xml:space="preserve">ממצא/נתון</t>
  </si>
  <si>
    <t xml:space="preserve">מקור</t>
  </si>
  <si>
    <t xml:space="preserve">היקף נישואין בישראל</t>
  </si>
  <si>
    <t xml:space="preserve">51,643 זוגות נישאו בישראל בשנת 2022; מתוכם 37,135 יהודים, 12,756 מוסלמים, 959 דרוזים, 762 נוצרים</t>
  </si>
  <si>
    <t xml:space="preserve">הלמ״ס - נישואין בישראל 2024 PDF</t>
  </si>
  <si>
    <t xml:space="preserve">רישום נישואין 2024</t>
  </si>
  <si>
    <t xml:space="preserve">המשרד לשירותי דת דיווח על עלייה של כ-10% במספר הזוגות שנרשמו לנישואין דרך לשכות הנישואין בשנת 2024</t>
  </si>
  <si>
    <t xml:space="preserve">Ynet - רישום נישואין 2024</t>
  </si>
  <si>
    <t xml:space="preserve">ענף האולמות</t>
  </si>
  <si>
    <t xml:space="preserve">450 אולמות וגני אירועים מאוגדים; 2 מיליון אורחים בחודש; 17 מיליארד ₪ הכנסות שנתיות; 150 אלף עובדים ישירים</t>
  </si>
  <si>
    <t xml:space="preserve">התאחדות האולמות - נתוני ענף</t>
  </si>
  <si>
    <t xml:space="preserve">מחיר חתונה ממוצעת 2025</t>
  </si>
  <si>
    <t xml:space="preserve">עלות חתונה ממוצעת בישראל 130-150 אלף ₪ לאירוע סטנדרטי של כ-300 מוזמנים; מחיר מנה 300-400₪ לפי ICE</t>
  </si>
  <si>
    <t xml:space="preserve">ICE - עלות חתונה 2025</t>
  </si>
  <si>
    <t xml:space="preserve">טווח מחיר מנה 2025</t>
  </si>
  <si>
    <t xml:space="preserve">Mit4Mit מציין טווח מרכז 350-600₪ למנה והפרשי אזור/עונה</t>
  </si>
  <si>
    <t xml:space="preserve">Mit4Mit - עלות חתונה 2025</t>
  </si>
  <si>
    <t xml:space="preserve">מחירונים אזוריים</t>
  </si>
  <si>
    <t xml:space="preserve">B144 מציג: צפון 200-400₪, דרום 250-500₪, מרכז 300-600₪, ירושלים 250-700₪ לחתונה קטנה</t>
  </si>
  <si>
    <t xml:space="preserve">B144 - מחירון אולמות</t>
  </si>
  <si>
    <t xml:space="preserve">עמלות מתנות באשראי</t>
  </si>
  <si>
    <t xml:space="preserve">Mako/N12 דיווח על עמלות מתנה באשראי של 2% ואף יותר; דוגמה 15.5₪ למתנה של 500₪; בעל האירוע משלם לרוב כ-200₪ לשירות</t>
  </si>
  <si>
    <t xml:space="preserve">Mako/N12 - עמלות מתנות באשראי</t>
  </si>
  <si>
    <t xml:space="preserve">טרנד דיגיטלי</t>
  </si>
  <si>
    <t xml:space="preserve">שירותים מובילים מציעים מתנות בכרטיס אשראי, Apple Pay/Google Pay, RSVP בוואטסאפ/SMS והעברות לאחר האירוע</t>
  </si>
  <si>
    <t xml:space="preserve">DIGINET - מתנות באשראי; Attending - אתר; Easy2Give - אודות מתנות באשראי</t>
  </si>
  <si>
    <t xml:space="preserve">תובנת מוצר</t>
  </si>
  <si>
    <t xml:space="preserve">עמדה פיזית באולם יכולה לגשר על הפער בין אורח שלא פתח לינק לבין צורך מיידי בכניסה לאולם</t>
  </si>
  <si>
    <t xml:space="preserve">ניתוח שמחות פלוס</t>
  </si>
  <si>
    <t xml:space="preserve">מתנה ממוצעת</t>
  </si>
  <si>
    <t xml:space="preserve">הנחת המודל: 400₪ ללא עמדה לעומת 550₪ עם עמדת אשראי (+37.5%)</t>
  </si>
  <si>
    <t xml:space="preserve">טבלת חישוב TAM/SAM/SOM</t>
  </si>
  <si>
    <t xml:space="preserve">מדד</t>
  </si>
  <si>
    <t xml:space="preserve">נוסחה/הנחה</t>
  </si>
  <si>
    <t xml:space="preserve">ערך</t>
  </si>
  <si>
    <t xml:space="preserve">אולמות וגנים מאוגדים</t>
  </si>
  <si>
    <t xml:space="preserve">נתון התאחדות</t>
  </si>
  <si>
    <t xml:space="preserve">חדירה אפשרית ל-50% מהשוק</t>
  </si>
  <si>
    <t xml:space="preserve">D20*50%</t>
  </si>
  <si>
    <t xml:space="preserve">אירועים ממוצע לאולם לחודש</t>
  </si>
  <si>
    <t xml:space="preserve">הנחת מודל</t>
  </si>
  <si>
    <t xml:space="preserve">עמדות יעד לחדירה 50%</t>
  </si>
  <si>
    <t xml:space="preserve">D21</t>
  </si>
  <si>
    <t xml:space="preserve">מחזור מתנות לעמדה/חודש</t>
  </si>
  <si>
    <t xml:space="preserve">C28*C27 מתוכנית עסקית</t>
  </si>
  <si>
    <r>
      <rPr>
        <b val="true"/>
        <sz val="16"/>
        <color rgb="FF0E4A4F"/>
        <rFont val="FreeSans"/>
        <family val="2"/>
      </rPr>
      <t xml:space="preserve">סקר שוק לפי מגזרים — סכומי מתנות</t>
    </r>
    <r>
      <rPr>
        <b val="true"/>
        <sz val="16"/>
        <color rgb="FF0E4A4F"/>
        <rFont val="Calibri"/>
        <family val="0"/>
        <charset val="1"/>
      </rPr>
      <t xml:space="preserve">, </t>
    </r>
    <r>
      <rPr>
        <b val="true"/>
        <sz val="16"/>
        <color rgb="FF0E4A4F"/>
        <rFont val="FreeSans"/>
        <family val="2"/>
      </rPr>
      <t xml:space="preserve">יתרון העמדה וחבילה בסגירת אולם</t>
    </r>
  </si>
  <si>
    <r>
      <rPr>
        <i val="true"/>
        <sz val="10"/>
        <color rgb="FF555555"/>
        <rFont val="FreeSans"/>
        <family val="2"/>
      </rPr>
      <t xml:space="preserve">פילוח מגזר</t>
    </r>
    <r>
      <rPr>
        <i val="true"/>
        <sz val="10"/>
        <color rgb="FF555555"/>
        <rFont val="Calibri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תת</t>
    </r>
    <r>
      <rPr>
        <i val="true"/>
        <sz val="10"/>
        <color rgb="FF555555"/>
        <rFont val="Calibri"/>
        <family val="0"/>
        <charset val="1"/>
      </rPr>
      <t xml:space="preserve">-</t>
    </r>
    <r>
      <rPr>
        <i val="true"/>
        <sz val="10"/>
        <color rgb="FF555555"/>
        <rFont val="FreeSans"/>
        <family val="2"/>
      </rPr>
      <t xml:space="preserve">מגזר עם טווחי מתנה משוערים </t>
    </r>
    <r>
      <rPr>
        <i val="true"/>
        <sz val="10"/>
        <color rgb="FF555555"/>
        <rFont val="Calibri"/>
        <family val="0"/>
        <charset val="1"/>
      </rPr>
      <t xml:space="preserve">(</t>
    </r>
    <r>
      <rPr>
        <i val="true"/>
        <sz val="10"/>
        <color rgb="FF555555"/>
        <rFont val="FreeSans"/>
        <family val="2"/>
      </rPr>
      <t xml:space="preserve">אומדני שוק</t>
    </r>
    <r>
      <rPr>
        <i val="true"/>
        <sz val="10"/>
        <color rgb="FF555555"/>
        <rFont val="Calibri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כתבות</t>
    </r>
    <r>
      <rPr>
        <i val="true"/>
        <sz val="10"/>
        <color rgb="FF555555"/>
        <rFont val="Calibri"/>
        <family val="0"/>
        <charset val="1"/>
      </rPr>
      <t xml:space="preserve">), </t>
    </r>
    <r>
      <rPr>
        <i val="true"/>
        <sz val="10"/>
        <color rgb="FF555555"/>
        <rFont val="FreeSans"/>
        <family val="2"/>
      </rPr>
      <t xml:space="preserve">יתרון עמדת האשראי בכל מגזר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ואופן שילוב החבילה כחלק מסגירת האולם</t>
    </r>
    <r>
      <rPr>
        <i val="true"/>
        <sz val="10"/>
        <color rgb="FF555555"/>
        <rFont val="Calibri"/>
        <family val="0"/>
        <charset val="1"/>
      </rPr>
      <t xml:space="preserve">. </t>
    </r>
    <r>
      <rPr>
        <i val="true"/>
        <sz val="10"/>
        <color rgb="FF555555"/>
        <rFont val="FreeSans"/>
        <family val="2"/>
      </rPr>
      <t xml:space="preserve">אומדני מתנה דורשים אימות בסקר שטח</t>
    </r>
    <r>
      <rPr>
        <i val="true"/>
        <sz val="10"/>
        <color rgb="FF555555"/>
        <rFont val="Calibri"/>
        <family val="0"/>
        <charset val="1"/>
      </rPr>
      <t xml:space="preserve">.</t>
    </r>
  </si>
  <si>
    <t xml:space="preserve">מגזר</t>
  </si>
  <si>
    <r>
      <rPr>
        <b val="true"/>
        <sz val="11"/>
        <color rgb="FFFFFFFF"/>
        <rFont val="FreeSans"/>
        <family val="2"/>
      </rPr>
      <t xml:space="preserve">תת</t>
    </r>
    <r>
      <rPr>
        <b val="true"/>
        <sz val="11"/>
        <color rgb="FFFFFFFF"/>
        <rFont val="Calibri"/>
        <family val="0"/>
        <charset val="1"/>
      </rPr>
      <t xml:space="preserve">-</t>
    </r>
    <r>
      <rPr>
        <b val="true"/>
        <sz val="11"/>
        <color rgb="FFFFFFFF"/>
        <rFont val="FreeSans"/>
        <family val="2"/>
      </rPr>
      <t xml:space="preserve">מגזר</t>
    </r>
  </si>
  <si>
    <t xml:space="preserve">סוג אירוע נפוץ</t>
  </si>
  <si>
    <r>
      <rPr>
        <b val="true"/>
        <sz val="11"/>
        <color rgb="FFFFFFFF"/>
        <rFont val="FreeSans"/>
        <family val="2"/>
      </rPr>
      <t xml:space="preserve">מתנה ממוצעת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ללא עמדה</t>
    </r>
    <r>
      <rPr>
        <b val="true"/>
        <sz val="11"/>
        <color rgb="FFFFFFFF"/>
        <rFont val="Calibri"/>
        <family val="0"/>
        <charset val="1"/>
      </rPr>
      <t xml:space="preserve">) ₪</t>
    </r>
  </si>
  <si>
    <r>
      <rPr>
        <b val="true"/>
        <sz val="11"/>
        <color rgb="FFFFFFFF"/>
        <rFont val="FreeSans"/>
        <family val="2"/>
      </rPr>
      <t xml:space="preserve">מתנה ממוצעת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עם עמדת אשראי</t>
    </r>
    <r>
      <rPr>
        <b val="true"/>
        <sz val="11"/>
        <color rgb="FFFFFFFF"/>
        <rFont val="Calibri"/>
        <family val="0"/>
        <charset val="1"/>
      </rPr>
      <t xml:space="preserve">) ₪</t>
    </r>
  </si>
  <si>
    <r>
      <rPr>
        <b val="true"/>
        <sz val="11"/>
        <color rgb="FFFFFFFF"/>
        <rFont val="FreeSans"/>
        <family val="2"/>
      </rPr>
      <t xml:space="preserve">גידול </t>
    </r>
    <r>
      <rPr>
        <b val="true"/>
        <sz val="11"/>
        <color rgb="FFFFFFFF"/>
        <rFont val="Calibri"/>
        <family val="0"/>
        <charset val="1"/>
      </rPr>
      <t xml:space="preserve">%</t>
    </r>
  </si>
  <si>
    <t xml:space="preserve">יתרון העמדה במגזר</t>
  </si>
  <si>
    <t xml:space="preserve">חבילה בסגירת אולם</t>
  </si>
  <si>
    <t xml:space="preserve">חילוני</t>
  </si>
  <si>
    <r>
      <rPr>
        <sz val="11"/>
        <color theme="1"/>
        <rFont val="FreeSans"/>
        <family val="2"/>
      </rPr>
      <t xml:space="preserve">מרכז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א</t>
    </r>
  </si>
  <si>
    <t xml:space="preserve">חתונה</t>
  </si>
  <si>
    <r>
      <rPr>
        <sz val="11"/>
        <color theme="1"/>
        <rFont val="FreeSans"/>
        <family val="2"/>
      </rPr>
      <t xml:space="preserve">נוחות ומיידיות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אורח צעיר רגיל לאשראי</t>
    </r>
    <r>
      <rPr>
        <sz val="11"/>
        <color theme="1"/>
        <rFont val="Calibri"/>
        <family val="2"/>
        <charset val="1"/>
      </rPr>
      <t xml:space="preserve">/Apple Pay</t>
    </r>
  </si>
  <si>
    <t xml:space="preserve">כלול אוטומטית בחבילת אולם פרימיום</t>
  </si>
  <si>
    <t xml:space="preserve">פריפריה</t>
  </si>
  <si>
    <r>
      <rPr>
        <sz val="11"/>
        <color theme="1"/>
        <rFont val="FreeSans"/>
        <family val="2"/>
      </rPr>
      <t xml:space="preserve">חוסך מזומן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קים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פריסה לתשלומים מגדילה מתנה</t>
    </r>
  </si>
  <si>
    <t xml:space="preserve">תוספת מומלצת בעת סגירת תאריך</t>
  </si>
  <si>
    <r>
      <rPr>
        <sz val="11"/>
        <color theme="1"/>
        <rFont val="FreeSans"/>
        <family val="2"/>
      </rPr>
      <t xml:space="preserve">אירוע קטן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בוטיק</t>
    </r>
  </si>
  <si>
    <r>
      <rPr>
        <sz val="11"/>
        <color theme="1"/>
        <rFont val="FreeSans"/>
        <family val="2"/>
      </rPr>
      <t xml:space="preserve">אירוסין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יום הולדת</t>
    </r>
  </si>
  <si>
    <r>
      <rPr>
        <sz val="11"/>
        <color theme="1"/>
        <rFont val="FreeSans"/>
        <family val="2"/>
      </rPr>
      <t xml:space="preserve">עמדה קומפקטית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חוויה אישית</t>
    </r>
  </si>
  <si>
    <t xml:space="preserve">חבילת בוטיק מוזלת</t>
  </si>
  <si>
    <t xml:space="preserve">מרכז ושפלה</t>
  </si>
  <si>
    <r>
      <rPr>
        <sz val="11"/>
        <color theme="1"/>
        <rFont val="FreeSans"/>
        <family val="2"/>
      </rPr>
      <t xml:space="preserve">מקובל ומוכר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משלב ברכה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מזכרת</t>
    </r>
  </si>
  <si>
    <t xml:space="preserve">ברירת מחדל בחבילת אולם דתי</t>
  </si>
  <si>
    <t xml:space="preserve">קהל גדול → ערך מצטבר גבוה</t>
  </si>
  <si>
    <r>
      <rPr>
        <sz val="11"/>
        <color theme="1"/>
        <rFont val="FreeSans"/>
        <family val="2"/>
      </rPr>
      <t xml:space="preserve">כלול בחבילה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מסלול תרומה לישיבות</t>
    </r>
  </si>
  <si>
    <r>
      <rPr>
        <sz val="11"/>
        <color theme="1"/>
        <rFont val="FreeSans"/>
        <family val="2"/>
      </rPr>
      <t xml:space="preserve">ליטאי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חסידי</t>
    </r>
  </si>
  <si>
    <r>
      <rPr>
        <sz val="11"/>
        <color theme="1"/>
        <rFont val="FreeSans"/>
        <family val="2"/>
      </rPr>
      <t xml:space="preserve">מסלול כשר </t>
    </r>
    <r>
      <rPr>
        <sz val="11"/>
        <color theme="1"/>
        <rFont val="Calibri"/>
        <family val="2"/>
        <charset val="1"/>
      </rPr>
      <t xml:space="preserve">IVR/</t>
    </r>
    <r>
      <rPr>
        <sz val="11"/>
        <color theme="1"/>
        <rFont val="FreeSans"/>
        <family val="2"/>
      </rPr>
      <t xml:space="preserve">ללא סמארטפון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הפרדת עמדות</t>
    </r>
  </si>
  <si>
    <r>
      <rPr>
        <sz val="11"/>
        <color theme="1"/>
        <rFont val="FreeSans"/>
        <family val="2"/>
      </rPr>
      <t xml:space="preserve">מודול כשר נפרד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שותפות נדרים פלוס</t>
    </r>
  </si>
  <si>
    <t xml:space="preserve">ספרדי</t>
  </si>
  <si>
    <r>
      <rPr>
        <sz val="11"/>
        <color theme="1"/>
        <rFont val="FreeSans"/>
        <family val="2"/>
      </rPr>
      <t xml:space="preserve">אמון דרך גורם קהילתי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עמלה שקופה</t>
    </r>
  </si>
  <si>
    <r>
      <rPr>
        <sz val="11"/>
        <color theme="1"/>
        <rFont val="FreeSans"/>
        <family val="2"/>
      </rPr>
      <t xml:space="preserve">חבילה עם הכשר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אישור גורם מוכר</t>
    </r>
  </si>
  <si>
    <r>
      <rPr>
        <sz val="11"/>
        <color theme="1"/>
        <rFont val="FreeSans"/>
        <family val="2"/>
      </rPr>
      <t xml:space="preserve">מסורתי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מעורב</t>
    </r>
  </si>
  <si>
    <t xml:space="preserve">דרום ואשדוד</t>
  </si>
  <si>
    <t xml:space="preserve">גישור על העדפת מזומן בעזרת נוחות</t>
  </si>
  <si>
    <t xml:space="preserve">תוספת בעת סגירת אולם</t>
  </si>
  <si>
    <t xml:space="preserve">מגזר ערבי</t>
  </si>
  <si>
    <t xml:space="preserve">צפון ומשולש</t>
  </si>
  <si>
    <t xml:space="preserve">חתונה גדולה</t>
  </si>
  <si>
    <r>
      <rPr>
        <sz val="11"/>
        <color theme="1"/>
        <rFont val="FreeSans"/>
        <family val="2"/>
      </rPr>
      <t xml:space="preserve">אירועים גדולים מאוד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פוטנציאל נפח</t>
    </r>
  </si>
  <si>
    <r>
      <rPr>
        <sz val="11"/>
        <color theme="1"/>
        <rFont val="FreeSans"/>
        <family val="2"/>
      </rPr>
      <t xml:space="preserve">פיילוט ייעודי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ממשק בערבית</t>
    </r>
  </si>
  <si>
    <r>
      <rPr>
        <sz val="11"/>
        <color theme="1"/>
        <rFont val="FreeSans"/>
        <family val="2"/>
      </rPr>
      <t xml:space="preserve">עמותות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מלכ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</si>
  <si>
    <t xml:space="preserve">ארצי</t>
  </si>
  <si>
    <t xml:space="preserve">דינר התרמה</t>
  </si>
  <si>
    <t xml:space="preserve">לא רלוונטי</t>
  </si>
  <si>
    <r>
      <rPr>
        <sz val="11"/>
        <color theme="1"/>
        <rFont val="FreeSans"/>
        <family val="2"/>
      </rPr>
      <t xml:space="preserve">תרומה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מכירה</t>
    </r>
  </si>
  <si>
    <t xml:space="preserve">—</t>
  </si>
  <si>
    <r>
      <rPr>
        <sz val="11"/>
        <color theme="1"/>
        <rFont val="FreeSans"/>
        <family val="2"/>
      </rPr>
      <t xml:space="preserve">עמדת תרומה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קבלה </t>
    </r>
    <r>
      <rPr>
        <sz val="11"/>
        <color theme="1"/>
        <rFont val="Calibri"/>
        <family val="2"/>
        <charset val="1"/>
      </rPr>
      <t xml:space="preserve">46</t>
    </r>
    <r>
      <rPr>
        <sz val="11"/>
        <color theme="1"/>
        <rFont val="FreeSans"/>
        <family val="2"/>
      </rPr>
      <t xml:space="preserve">א</t>
    </r>
    <r>
      <rPr>
        <sz val="11"/>
        <color theme="1"/>
        <rFont val="Calibri"/>
        <family val="2"/>
        <charset val="1"/>
      </rPr>
      <t xml:space="preserve">' + </t>
    </r>
    <r>
      <rPr>
        <sz val="11"/>
        <color theme="1"/>
        <rFont val="FreeSans"/>
        <family val="2"/>
      </rPr>
      <t xml:space="preserve">יעד חי</t>
    </r>
  </si>
  <si>
    <r>
      <rPr>
        <sz val="11"/>
        <color theme="1"/>
        <rFont val="FreeSans"/>
        <family val="2"/>
      </rPr>
      <t xml:space="preserve">מנוי שנתי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חבילת אירועי התרמה</t>
    </r>
  </si>
  <si>
    <r>
      <rPr>
        <sz val="11"/>
        <color theme="1"/>
        <rFont val="FreeSans"/>
        <family val="2"/>
      </rPr>
      <t xml:space="preserve">עסקי</t>
    </r>
    <r>
      <rPr>
        <sz val="11"/>
        <color theme="1"/>
        <rFont val="Calibri"/>
        <family val="2"/>
        <charset val="1"/>
      </rPr>
      <t xml:space="preserve">/B2B</t>
    </r>
  </si>
  <si>
    <r>
      <rPr>
        <sz val="11"/>
        <color theme="1"/>
        <rFont val="FreeSans"/>
        <family val="2"/>
      </rPr>
      <t xml:space="preserve">כנס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תערוכה</t>
    </r>
  </si>
  <si>
    <r>
      <rPr>
        <sz val="11"/>
        <color theme="1"/>
        <rFont val="FreeSans"/>
        <family val="2"/>
      </rPr>
      <t xml:space="preserve">עמדת תצוגה ולידים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תשלום כניסה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מוצר</t>
    </r>
  </si>
  <si>
    <r>
      <rPr>
        <sz val="11"/>
        <color theme="1"/>
        <rFont val="FreeSans"/>
        <family val="2"/>
      </rPr>
      <t xml:space="preserve">דמי הקמה לאירוע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עמלת מכירה</t>
    </r>
  </si>
  <si>
    <r>
      <rPr>
        <b val="true"/>
        <sz val="12"/>
        <color rgb="FFD19900"/>
        <rFont val="FreeSans"/>
        <family val="2"/>
      </rPr>
      <t xml:space="preserve">אסטרטגיית </t>
    </r>
    <r>
      <rPr>
        <b val="true"/>
        <sz val="12"/>
        <color rgb="FFD19900"/>
        <rFont val="Calibri"/>
        <family val="0"/>
        <charset val="1"/>
      </rPr>
      <t xml:space="preserve">'</t>
    </r>
    <r>
      <rPr>
        <b val="true"/>
        <sz val="12"/>
        <color rgb="FFD19900"/>
        <rFont val="FreeSans"/>
        <family val="2"/>
      </rPr>
      <t xml:space="preserve">חבילה בסגירת אולם</t>
    </r>
    <r>
      <rPr>
        <b val="true"/>
        <sz val="12"/>
        <color rgb="FFD19900"/>
        <rFont val="Calibri"/>
        <family val="0"/>
        <charset val="1"/>
      </rPr>
      <t xml:space="preserve">'</t>
    </r>
  </si>
  <si>
    <r>
      <rPr>
        <sz val="10"/>
        <rFont val="FreeSans"/>
        <family val="2"/>
      </rPr>
      <t xml:space="preserve">• המודל</t>
    </r>
    <r>
      <rPr>
        <sz val="10"/>
        <rFont val="Calibri"/>
        <family val="0"/>
        <charset val="1"/>
      </rPr>
      <t xml:space="preserve">: </t>
    </r>
    <r>
      <rPr>
        <sz val="10"/>
        <rFont val="FreeSans"/>
        <family val="2"/>
      </rPr>
      <t xml:space="preserve">בעל האירוע סוגר אולם → שמחות פלוס כבר מובנית בחבילה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לא מכירה נפרדת</t>
    </r>
    <r>
      <rPr>
        <sz val="10"/>
        <rFont val="Calibri"/>
        <family val="0"/>
        <charset val="1"/>
      </rPr>
      <t xml:space="preserve">). </t>
    </r>
    <r>
      <rPr>
        <sz val="10"/>
        <rFont val="FreeSans"/>
        <family val="2"/>
      </rPr>
      <t xml:space="preserve">חוסך חיכוך מכירה</t>
    </r>
    <r>
      <rPr>
        <sz val="10"/>
        <rFont val="Calibri"/>
        <family val="0"/>
        <charset val="1"/>
      </rPr>
      <t xml:space="preserve">.</t>
    </r>
  </si>
  <si>
    <r>
      <rPr>
        <sz val="10"/>
        <rFont val="FreeSans"/>
        <family val="2"/>
      </rPr>
      <t xml:space="preserve">• האולם מציג את השירות כ</t>
    </r>
    <r>
      <rPr>
        <sz val="10"/>
        <rFont val="Calibri"/>
        <family val="0"/>
        <charset val="1"/>
      </rPr>
      <t xml:space="preserve">'</t>
    </r>
    <r>
      <rPr>
        <sz val="10"/>
        <rFont val="FreeSans"/>
        <family val="2"/>
      </rPr>
      <t xml:space="preserve">ערך מוסף שלו</t>
    </r>
    <r>
      <rPr>
        <sz val="10"/>
        <rFont val="Calibri"/>
        <family val="0"/>
        <charset val="1"/>
      </rPr>
      <t xml:space="preserve">' — </t>
    </r>
    <r>
      <rPr>
        <sz val="10"/>
        <rFont val="FreeSans"/>
        <family val="2"/>
      </rPr>
      <t xml:space="preserve">מתנה דיגיטלית</t>
    </r>
    <r>
      <rPr>
        <sz val="10"/>
        <rFont val="Calibri"/>
        <family val="0"/>
        <charset val="1"/>
      </rPr>
      <t xml:space="preserve">, RSVP </t>
    </r>
    <r>
      <rPr>
        <sz val="10"/>
        <rFont val="FreeSans"/>
        <family val="2"/>
      </rPr>
      <t xml:space="preserve">ודוחות — ומחזק את סגירת העסקה</t>
    </r>
    <r>
      <rPr>
        <sz val="10"/>
        <rFont val="Calibri"/>
        <family val="0"/>
        <charset val="1"/>
      </rPr>
      <t xml:space="preserve">.</t>
    </r>
  </si>
  <si>
    <r>
      <rPr>
        <sz val="10"/>
        <rFont val="FreeSans"/>
        <family val="2"/>
      </rPr>
      <t xml:space="preserve">• בעל האירוע משלם </t>
    </r>
    <r>
      <rPr>
        <sz val="10"/>
        <rFont val="Calibri"/>
        <family val="0"/>
        <charset val="1"/>
      </rPr>
      <t xml:space="preserve">(100-200₪ </t>
    </r>
    <r>
      <rPr>
        <sz val="10"/>
        <rFont val="FreeSans"/>
        <family val="2"/>
      </rPr>
      <t xml:space="preserve">דמי הקמה</t>
    </r>
    <r>
      <rPr>
        <sz val="10"/>
        <rFont val="Calibri"/>
        <family val="0"/>
        <charset val="1"/>
      </rPr>
      <t xml:space="preserve">); </t>
    </r>
    <r>
      <rPr>
        <sz val="10"/>
        <rFont val="FreeSans"/>
        <family val="2"/>
      </rPr>
      <t xml:space="preserve">האולם לא נושא בעלות ומקבל לידים חמים — </t>
    </r>
    <r>
      <rPr>
        <sz val="10"/>
        <rFont val="Calibri"/>
        <family val="0"/>
        <charset val="1"/>
      </rPr>
      <t xml:space="preserve">Win-Win-Win (B2B2C).</t>
    </r>
  </si>
  <si>
    <r>
      <rPr>
        <sz val="10"/>
        <rFont val="FreeSans"/>
        <family val="2"/>
      </rPr>
      <t xml:space="preserve">• תאי הסכום בכחול ניתנים לעריכה</t>
    </r>
    <r>
      <rPr>
        <sz val="10"/>
        <rFont val="Calibri"/>
        <family val="0"/>
        <charset val="1"/>
      </rPr>
      <t xml:space="preserve">; </t>
    </r>
    <r>
      <rPr>
        <sz val="10"/>
        <rFont val="FreeSans"/>
        <family val="2"/>
      </rPr>
      <t xml:space="preserve">עמודת הגידול מחושבת אוטומטית בנוסחה</t>
    </r>
    <r>
      <rPr>
        <sz val="10"/>
        <rFont val="Calibri"/>
        <family val="0"/>
        <charset val="1"/>
      </rPr>
      <t xml:space="preserve">.</t>
    </r>
  </si>
  <si>
    <t xml:space="preserve">סקר שוק לקוחות | בעלי אירועים ואורחים</t>
  </si>
  <si>
    <t xml:space="preserve">גיליון זה משלב שאלות לסקר עתידי עם ממצאים ממקורות שוק זמינים על חתונות ומתנות דיגיטליות.</t>
  </si>
  <si>
    <t xml:space="preserve">שאלת סקר מומלצת</t>
  </si>
  <si>
    <t xml:space="preserve">ממצא שוק</t>
  </si>
  <si>
    <t xml:space="preserve">השלכה למוצר</t>
  </si>
  <si>
    <t xml:space="preserve">אופן מתן מתנה מועדף</t>
  </si>
  <si>
    <t xml:space="preserve">איזו דרך היית מעדיף/ה למתנה: מזומן/צ׳ק/Bit/כרטיס אשראי בעמדה/קישור?</t>
  </si>
  <si>
    <t xml:space="preserve">פער בין נוחות דיגיטלית לבין חשש מעמלות; Mako הציף רגישות גבוהה לעמלה באשראי</t>
  </si>
  <si>
    <t xml:space="preserve">להציע עמדה בלי עמלה לאורח או עמלה שקופה ונמוכה</t>
  </si>
  <si>
    <t xml:space="preserve">ממוצע מתנה</t>
  </si>
  <si>
    <t xml:space="preserve">מה סכום המתנה הממוצע שלך לאירוע?</t>
  </si>
  <si>
    <t xml:space="preserve">הנחת מודל: 400₪ ללא עמדה מול 550₪ עם אשראי (+37.5%)</t>
  </si>
  <si>
    <t xml:space="preserve">להציג לבעל אירוע את הגדלת המתנה כ-ROI ישיר</t>
  </si>
  <si>
    <t xml:space="preserve">נכונות לשלם דמי שירות</t>
  </si>
  <si>
    <t xml:space="preserve">האם היית משלם/ת 100-200₪ לאירוע עבור ניהול מתנות, RSVP ודוחות?</t>
  </si>
  <si>
    <t xml:space="preserve">Mako מציין שבדרך כלל בעלי אירוע משלמים כ-200₪ לשירות מתנות/דוחות</t>
  </si>
  <si>
    <t xml:space="preserve">תמחור 100-200₪ תחרותי מול השוק</t>
  </si>
  <si>
    <t xml:space="preserve">חסם עיקרי</t>
  </si>
  <si>
    <t xml:space="preserve">מה ימנע ממך להשתמש בעמדת אשראי? עמלה, פרטיות, תור, תקלה, חוסר אמון?</t>
  </si>
  <si>
    <t xml:space="preserve">חסמי אמון ועמלה הם המרכזיים בשירותים פיננסיים לאירוע</t>
  </si>
  <si>
    <t xml:space="preserve">להדגיש אבטחת סליקה, נש״פ/שותף פיננסי, דוח מיידי ושירות במקום</t>
  </si>
  <si>
    <t xml:space="preserve">Mako/N12 - עמלות מתנות באשראי; Mazalit - תקנון</t>
  </si>
  <si>
    <t xml:space="preserve">תשלומים</t>
  </si>
  <si>
    <t xml:space="preserve">האם האפשרות לפרוס מתנה לתשלומים תגדיל את הסכום?</t>
  </si>
  <si>
    <t xml:space="preserve">Easy2Give ותחרות מציעים עד 6 תשלומים; זה מצדיק עמלה אך עלול לעורר התנגדות</t>
  </si>
  <si>
    <t xml:space="preserve">לאפשר תשלומים אך להציג סכום כולל/עמלה בצורה ברורה</t>
  </si>
  <si>
    <t xml:space="preserve">Easy2Give - תנאי שימוש; DIGINET - מתנות באשראי</t>
  </si>
  <si>
    <t xml:space="preserve">קישור מול עמדה</t>
  </si>
  <si>
    <t xml:space="preserve">האם תשתמש/י בקישור שנשלח ביום האירוע או בעמדה בכניסה?</t>
  </si>
  <si>
    <t xml:space="preserve">לינק דיגיטלי נוח אך לא תמיד נפתח בזמן; עמדה פיזית תופסת רגע כוונה גבוה</t>
  </si>
  <si>
    <t xml:space="preserve">לשלב קישור + עמדה כדי למקסם המרה</t>
  </si>
  <si>
    <t xml:space="preserve">DIGINET - מתנות באשראי; Easy2Give - אודות מתנות באשראי</t>
  </si>
  <si>
    <t xml:space="preserve">ציבור חרדי</t>
  </si>
  <si>
    <t xml:space="preserve">האם נדרשת הפרדה/עמדות נשים-גברים או תהליך ללא סמארטפון?</t>
  </si>
  <si>
    <t xml:space="preserve">Mazalit מציגה עמדות נפרדות ובנייה לציבור החרדי</t>
  </si>
  <si>
    <t xml:space="preserve">מודול כשר/חרדי עם IVR ושותף נדרים פלוס כמסלול עתידי</t>
  </si>
  <si>
    <t xml:space="preserve">Mazalit - תקנון</t>
  </si>
  <si>
    <t xml:space="preserve">שקיפות ודוחות</t>
  </si>
  <si>
    <t xml:space="preserve">איזה דוח תרצה לקבל אחרי האירוע?</t>
  </si>
  <si>
    <t xml:space="preserve">מתחרים מציעים דוח מתנות, ברכות וסיכומים לאחר האירוע</t>
  </si>
  <si>
    <t xml:space="preserve">דוח בזמן אמת + יצוא Excel + התאמת שם אורח לרשומת RSVP</t>
  </si>
  <si>
    <t xml:space="preserve">Easy2Give - אודות מתנות באשראי; MyInvite - מתנות באשראי ותקנון</t>
  </si>
  <si>
    <t xml:space="preserve">סקר שוק אולמות | בעלי אולמות, מנהלי מכירות ושיווק</t>
  </si>
  <si>
    <t xml:space="preserve">מיקוד B2B: מה יגרום לאולם לאמץ עמדה שמייצרת ערך לבעל האירוע וגם לידים חמים לאולם.</t>
  </si>
  <si>
    <t xml:space="preserve">שאלה לבעלי אולמות</t>
  </si>
  <si>
    <t xml:space="preserve">תובנה</t>
  </si>
  <si>
    <t xml:space="preserve">החלטת מוצר/מכירה</t>
  </si>
  <si>
    <t xml:space="preserve">לידים חמים</t>
  </si>
  <si>
    <t xml:space="preserve">האם תיתן שירות חינם/מומלץ אם תקבל לידים של אורחים שמתעניינים באירוע עתידי?</t>
  </si>
  <si>
    <t xml:space="preserve">הזדמנות בידול: אף מתחרה שנבדק לא מציע לידים לאולם כערך מרכזי</t>
  </si>
  <si>
    <t xml:space="preserve">זהו מסר המכירה הראשי לבעל אולם</t>
  </si>
  <si>
    <t xml:space="preserve">עלות לאולם</t>
  </si>
  <si>
    <t xml:space="preserve">האם תאמץ פתרון אם בעל האירוע משלם והאולם לא נושא בעלות?</t>
  </si>
  <si>
    <t xml:space="preserve">מודל B2B2C מפחית חסם אימוץ ומאפשר לאולם להציג שירות חדש</t>
  </si>
  <si>
    <t xml:space="preserve">לא להעמיס על מחיר המנה; לשלב בחבילת אירוע</t>
  </si>
  <si>
    <t xml:space="preserve">אמינות תפעולית</t>
  </si>
  <si>
    <t xml:space="preserve">מה SLA נדרש ביום אירוע?</t>
  </si>
  <si>
    <t xml:space="preserve">עמדה פיזית באירוע קריטי דורשת תמיכה, גיבוי אינטרנט/חשמל וניהול תור</t>
  </si>
  <si>
    <t xml:space="preserve">חובה ערכת גיבוי וסקר תפעולי לכל אולם</t>
  </si>
  <si>
    <t xml:space="preserve">מיתוג</t>
  </si>
  <si>
    <t xml:space="preserve">האם חשוב שההזמנה/דף נחיתה יהיו במיתוג האולם?</t>
  </si>
  <si>
    <t xml:space="preserve">White Label מגדיל נכס שיווקי והופך כל הזמנה למדיה של האולם</t>
  </si>
  <si>
    <t xml:space="preserve">לפתח עורך דף נחיתה לכל אולם</t>
  </si>
  <si>
    <t xml:space="preserve">דאטה ובעלות לידים</t>
  </si>
  <si>
    <t xml:space="preserve">איזה מידע מותר וחשוב לקבל?</t>
  </si>
  <si>
    <t xml:space="preserve">חייבים הסכמה מפורשת ושמירת פרטיות; ערך גבוה אם הדאטה נקי ומסווג</t>
  </si>
  <si>
    <t xml:space="preserve">טופס הסכמה + CRM + תיוג אירוע</t>
  </si>
  <si>
    <t xml:space="preserve">קהל חרדי/מסורתי</t>
  </si>
  <si>
    <t xml:space="preserve">האם יש אירועים הדורשים מסלול כשר/ללא סמארטפון?</t>
  </si>
  <si>
    <t xml:space="preserve">Mazalit מוכיחה צורך במגזר חרדי עם עמדות נפרדות; נדרים פלוס עשוי להיות שותף, לא מתחרה</t>
  </si>
  <si>
    <t xml:space="preserve">להציע מסלול כשר + IVR</t>
  </si>
  <si>
    <t xml:space="preserve">מדדי הצלחה</t>
  </si>
  <si>
    <t xml:space="preserve">אילו KPI ישכנעו אותך להמשיך?</t>
  </si>
  <si>
    <t xml:space="preserve">מספר לידים, שיעור המרה, הכנסה עקיפה, שביעות רצון זוגות, אפס תקלות</t>
  </si>
  <si>
    <t xml:space="preserve">דשבורד מנהל אולם עם KPI ברורים</t>
  </si>
  <si>
    <t xml:space="preserve">אינטגרציות</t>
  </si>
  <si>
    <t xml:space="preserve">האם נדרשת אינטגרציה ל-CRM/ניהול אולם?</t>
  </si>
  <si>
    <t xml:space="preserve">אולמות גדולים יעדיפו חיבור למערכות קיימות</t>
  </si>
  <si>
    <t xml:space="preserve">API/CSV בשלב ראשון; אינטגרציה מלאה בשלב צמיחה</t>
  </si>
  <si>
    <t xml:space="preserve">מקורות: התאחדות האולמות - נתוני ענף, Mazalit - תקנון, ניתוח שמחות פלוס</t>
  </si>
  <si>
    <t xml:space="preserve">תוכנית עסקית | הנחות, מודל הכנסות ויחידת כלכלה</t>
  </si>
  <si>
    <t xml:space="preserve">תאי קלט בצבע כחול. נוסחאות חיות מאפשרות שינוי הנחות וניתוח מיידי.</t>
  </si>
  <si>
    <t xml:space="preserve">פרמטר</t>
  </si>
  <si>
    <t xml:space="preserve">יחידה</t>
  </si>
  <si>
    <t xml:space="preserve">סוג</t>
  </si>
  <si>
    <t xml:space="preserve">עלות הקמת עמדה (חומרה+התקנה)</t>
  </si>
  <si>
    <t xml:space="preserve">₪</t>
  </si>
  <si>
    <t xml:space="preserve">קלט</t>
  </si>
  <si>
    <t xml:space="preserve">שירות חודשי לעמדה</t>
  </si>
  <si>
    <t xml:space="preserve">₪/חודש</t>
  </si>
  <si>
    <t xml:space="preserve">הקמת חשבון סליקה לאירוע</t>
  </si>
  <si>
    <t xml:space="preserve">₪ + מע״מ</t>
  </si>
  <si>
    <t xml:space="preserve">דמי הקמה לאירוע - נמוך</t>
  </si>
  <si>
    <t xml:space="preserve">דמי הקמה לאירוע - גבוה</t>
  </si>
  <si>
    <t xml:space="preserve">דמי הקמה ממוצעים לאירוע</t>
  </si>
  <si>
    <t xml:space="preserve">נוסחה</t>
  </si>
  <si>
    <t xml:space="preserve">עמלת סליקה הכנסה - נמוך</t>
  </si>
  <si>
    <t xml:space="preserve">%</t>
  </si>
  <si>
    <t xml:space="preserve">עמלת סליקה הכנסה - גבוה</t>
  </si>
  <si>
    <t xml:space="preserve">עמלת סליקה ממוצעת</t>
  </si>
  <si>
    <t xml:space="preserve">מתנה ממוצעת ללא עמדה</t>
  </si>
  <si>
    <t xml:space="preserve">מתנה ממוצעת עם עמדת אשראי</t>
  </si>
  <si>
    <t xml:space="preserve">שיפור מתנה ממוצעת</t>
  </si>
  <si>
    <t xml:space="preserve">הוצאות חודשיות קבועות</t>
  </si>
  <si>
    <t xml:space="preserve">השקעת פיתוח שכבר הוצאה</t>
  </si>
  <si>
    <t xml:space="preserve">תקציב פרסום</t>
  </si>
  <si>
    <t xml:space="preserve">הוצאות נלוות</t>
  </si>
  <si>
    <t xml:space="preserve">סה״כ השקעה ראשונית</t>
  </si>
  <si>
    <t xml:space="preserve">מספר אורחים ממוצע לאירוע</t>
  </si>
  <si>
    <t xml:space="preserve">אורחים</t>
  </si>
  <si>
    <t xml:space="preserve">שיעור אורחים שנותנים באשראי בעמדה</t>
  </si>
  <si>
    <t xml:space="preserve">מחזור סליקה ממוצע לאירוע</t>
  </si>
  <si>
    <t xml:space="preserve">אירועים לחודש לעמדה</t>
  </si>
  <si>
    <t xml:space="preserve">אירועים</t>
  </si>
  <si>
    <t xml:space="preserve">הכנסה ממוצעת לאירוע</t>
  </si>
  <si>
    <t xml:space="preserve">רווח גולמי לעמדה/חודש</t>
  </si>
  <si>
    <t xml:space="preserve">נקודת איזון עמדות</t>
  </si>
  <si>
    <t xml:space="preserve">עמדות</t>
  </si>
  <si>
    <t xml:space="preserve">מודל B2B2C</t>
  </si>
  <si>
    <t xml:space="preserve">צד במודל</t>
  </si>
  <si>
    <t xml:space="preserve">ערך עסקי</t>
  </si>
  <si>
    <t xml:space="preserve">אולם</t>
  </si>
  <si>
    <t xml:space="preserve">מוכר/ממליץ על השירות כחלק מחבילת האירוע; מקבל דף נחיתה ממותג ולידים חמים</t>
  </si>
  <si>
    <t xml:space="preserve">בעל האירוע</t>
  </si>
  <si>
    <t xml:space="preserve">משלם דמי הקמה/שירות ומקבל ניהול מתנות + RSVP + דוחות בזמן אמת</t>
  </si>
  <si>
    <t xml:space="preserve">נותנים מתנה באשראי בעמדה פיזית או בקישור דיגיטלי, עם אפשרות ברכה ותשלומים</t>
  </si>
  <si>
    <t xml:space="preserve">שמחות פלוס</t>
  </si>
  <si>
    <t xml:space="preserve">מרוויחה מדמי הקמה, עמלת סליקה ושירות חודשי לעמדה</t>
  </si>
  <si>
    <t xml:space="preserve">מקורות: פרמטרים שסופקו על ידי היזם, התאחדות האולמות - נתוני ענף, Mako/N12 - עמלות מתנות באשראי</t>
  </si>
  <si>
    <t xml:space="preserve">דוח רווח והפסד | מטריצת רווחיות ותחזית לפי מספר עמדות</t>
  </si>
  <si>
    <t xml:space="preserve">כל התאים במטריצות משתמשים בנוסחאות חיות מתוך גיליון תוכנית עסקית.</t>
  </si>
  <si>
    <t xml:space="preserve">חלק א׳: רווח גולמי חודשי לעמדה לפי אירועים ומחזור סליקה</t>
  </si>
  <si>
    <t xml:space="preserve">מחזור לאירוע</t>
  </si>
  <si>
    <t xml:space="preserve">חלק ב׳: P&amp;L שנתי לפי תחזית עמדות</t>
  </si>
  <si>
    <t xml:space="preserve">שורה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</si>
  <si>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</si>
  <si>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</si>
  <si>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</si>
  <si>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</si>
  <si>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</si>
  <si>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</si>
  <si>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</si>
  <si>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עמדות בסוף שנה</t>
  </si>
  <si>
    <t xml:space="preserve">עמדות ממוצעות פעילות</t>
  </si>
  <si>
    <t xml:space="preserve">אירועים/חודש/עמדה</t>
  </si>
  <si>
    <t xml:space="preserve">מחזור סליקה/אירוע</t>
  </si>
  <si>
    <t xml:space="preserve">הכנסות דמי הקמה+סליקה</t>
  </si>
  <si>
    <t xml:space="preserve">הכנסות שירות חודשי</t>
  </si>
  <si>
    <t xml:space="preserve">סה״כ הכנסות</t>
  </si>
  <si>
    <t xml:space="preserve">עלות שירות עמדות</t>
  </si>
  <si>
    <t xml:space="preserve">הוצאות קבועות</t>
  </si>
  <si>
    <t xml:space="preserve">פרסום/מכירות</t>
  </si>
  <si>
    <t xml:space="preserve">רכישת עמדות חדשות</t>
  </si>
  <si>
    <t xml:space="preserve">EBITDA</t>
  </si>
  <si>
    <t xml:space="preserve">רווח נקי לפני מס (אומדן)</t>
  </si>
  <si>
    <t xml:space="preserve">ניתוח עמדה | יחידת כלכלה ורגישות</t>
  </si>
  <si>
    <t xml:space="preserve">הרווחיות לעמדה מונעת מכמות אירועים, מחזור סליקה לאירוע, עמלת סליקה ודמי הקמה.</t>
  </si>
  <si>
    <t xml:space="preserve">50₪ + דמי הקמה ממוצעים + מחזור*עמלה</t>
  </si>
  <si>
    <t xml:space="preserve">אירועים*הכנסה לאירוע - שירות חודשי</t>
  </si>
  <si>
    <t xml:space="preserve">חודשי החזר עמדה</t>
  </si>
  <si>
    <t xml:space="preserve">עלות עמדה / רווח גולמי חודשי</t>
  </si>
  <si>
    <t xml:space="preserve">הוצאות קבועות / רווח גולמי לעמדה</t>
  </si>
  <si>
    <t xml:space="preserve">550/400-1</t>
  </si>
  <si>
    <t xml:space="preserve">מטריצת רגישות — רווח גולמי לעמדה/חודש</t>
  </si>
  <si>
    <t xml:space="preserve">מחזור סליקה לאירוע</t>
  </si>
  <si>
    <t xml:space="preserve">תחזית 7 שנים | 2025-2031</t>
  </si>
  <si>
    <t xml:space="preserve">תחזית צמיחה מ-5 ל-450 עמדות. כל החישובים נשענים על ההנחות בגיליון תוכנית עסקית.</t>
  </si>
  <si>
    <t xml:space="preserve">עמדות מותקנות סוף שנה</t>
  </si>
  <si>
    <t xml:space="preserve">עמדות חדשות</t>
  </si>
  <si>
    <t xml:space="preserve">חדירה מתוך 450 אולמות מאוגדים</t>
  </si>
  <si>
    <t xml:space="preserve">מחזור סליקה שנתי</t>
  </si>
  <si>
    <t xml:space="preserve">הכנסות שנתיות</t>
  </si>
  <si>
    <t xml:space="preserve">EBITDA מצטבר</t>
  </si>
  <si>
    <t xml:space="preserve">סטטוס</t>
  </si>
  <si>
    <t xml:space="preserve">רעיונות לשיפור והתקדמות בתחום האירועים</t>
  </si>
  <si>
    <r>
      <rPr>
        <i val="true"/>
        <sz val="10"/>
        <color rgb="FF555555"/>
        <rFont val="FreeSans"/>
        <family val="2"/>
      </rPr>
      <t xml:space="preserve">מפת חדשנות מוצרית — מקובץ לפי תחום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עם תיאור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ערך ללקוח</t>
    </r>
    <r>
      <rPr>
        <i val="true"/>
        <sz val="10"/>
        <color rgb="FF555555"/>
        <rFont val="Calibri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אולם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מורכבות מימוש ועדיפות</t>
    </r>
    <r>
      <rPr>
        <i val="true"/>
        <sz val="10"/>
        <color rgb="FF555555"/>
        <rFont val="Calibri"/>
        <family val="0"/>
        <charset val="1"/>
      </rPr>
      <t xml:space="preserve">. </t>
    </r>
    <r>
      <rPr>
        <i val="true"/>
        <sz val="10"/>
        <color rgb="FF555555"/>
        <rFont val="FreeSans"/>
        <family val="2"/>
      </rPr>
      <t xml:space="preserve">נועד לתעדוף </t>
    </r>
    <r>
      <rPr>
        <i val="true"/>
        <sz val="10"/>
        <color rgb="FF555555"/>
        <rFont val="Calibri"/>
        <family val="0"/>
        <charset val="1"/>
      </rPr>
      <t xml:space="preserve">roadmap.</t>
    </r>
  </si>
  <si>
    <t xml:space="preserve">תחום</t>
  </si>
  <si>
    <r>
      <rPr>
        <b val="true"/>
        <sz val="11"/>
        <color rgb="FFFFFFFF"/>
        <rFont val="FreeSans"/>
        <family val="2"/>
      </rPr>
      <t xml:space="preserve">רעיון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פיצ</t>
    </r>
    <r>
      <rPr>
        <b val="true"/>
        <sz val="11"/>
        <color rgb="FFFFFFFF"/>
        <rFont val="Calibri"/>
        <family val="0"/>
        <charset val="1"/>
      </rPr>
      <t xml:space="preserve">'</t>
    </r>
    <r>
      <rPr>
        <b val="true"/>
        <sz val="11"/>
        <color rgb="FFFFFFFF"/>
        <rFont val="FreeSans"/>
        <family val="2"/>
      </rPr>
      <t xml:space="preserve">ר</t>
    </r>
  </si>
  <si>
    <t xml:space="preserve">תיאור קצר</t>
  </si>
  <si>
    <t xml:space="preserve">ערך לבעל אירוע</t>
  </si>
  <si>
    <t xml:space="preserve">ערך לאולם</t>
  </si>
  <si>
    <t xml:space="preserve">מורכבות מימוש</t>
  </si>
  <si>
    <t xml:space="preserve">עדיפות</t>
  </si>
  <si>
    <t xml:space="preserve">מתנות וסליקה</t>
  </si>
  <si>
    <t xml:space="preserve">פריסת מתנה לתשלומים</t>
  </si>
  <si>
    <r>
      <rPr>
        <sz val="11"/>
        <color theme="1"/>
        <rFont val="FreeSans"/>
        <family val="2"/>
      </rPr>
      <t xml:space="preserve">אפשרות לאורח לפרוס מתנה ל</t>
    </r>
    <r>
      <rPr>
        <sz val="11"/>
        <color theme="1"/>
        <rFont val="Calibri"/>
        <family val="2"/>
        <charset val="1"/>
      </rPr>
      <t xml:space="preserve">-3/6/12 </t>
    </r>
    <r>
      <rPr>
        <sz val="11"/>
        <color theme="1"/>
        <rFont val="FreeSans"/>
        <family val="2"/>
      </rPr>
      <t xml:space="preserve">תשלומים בעמדה או בקישור</t>
    </r>
  </si>
  <si>
    <t xml:space="preserve">מאפשר מתנה גדולה יותר גם בתקציב מוגבל</t>
  </si>
  <si>
    <r>
      <rPr>
        <sz val="11"/>
        <color theme="1"/>
        <rFont val="FreeSans"/>
        <family val="2"/>
      </rPr>
      <t xml:space="preserve">מגדיל סכום מתנה ממוצע ולכן את </t>
    </r>
    <r>
      <rPr>
        <sz val="11"/>
        <color theme="1"/>
        <rFont val="Calibri"/>
        <family val="2"/>
        <charset val="1"/>
      </rPr>
      <t xml:space="preserve">ROI</t>
    </r>
  </si>
  <si>
    <t xml:space="preserve">בינונית</t>
  </si>
  <si>
    <t xml:space="preserve">גבוהה</t>
  </si>
  <si>
    <t xml:space="preserve">ארנק מתנות דיגיטלי</t>
  </si>
  <si>
    <r>
      <rPr>
        <sz val="11"/>
        <color theme="1"/>
        <rFont val="FreeSans"/>
        <family val="2"/>
      </rPr>
      <t xml:space="preserve">ריכוז כל המתנות בארנק אישי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העברה לחשבון</t>
    </r>
    <r>
      <rPr>
        <sz val="11"/>
        <color theme="1"/>
        <rFont val="Calibri"/>
        <family val="2"/>
        <charset val="1"/>
      </rPr>
      <t xml:space="preserve">/Bit </t>
    </r>
    <r>
      <rPr>
        <sz val="11"/>
        <color theme="1"/>
        <rFont val="FreeSans"/>
        <family val="2"/>
      </rPr>
      <t xml:space="preserve">אחרי האירוע</t>
    </r>
  </si>
  <si>
    <t xml:space="preserve">שקיפות ושליטה מלאה בכספי המתנות</t>
  </si>
  <si>
    <t xml:space="preserve">-</t>
  </si>
  <si>
    <r>
      <rPr>
        <sz val="11"/>
        <color theme="1"/>
        <rFont val="FreeSans"/>
        <family val="2"/>
      </rPr>
      <t xml:space="preserve">מתנה קבוצתית </t>
    </r>
    <r>
      <rPr>
        <sz val="11"/>
        <color theme="1"/>
        <rFont val="Calibri"/>
        <family val="2"/>
        <charset val="1"/>
      </rPr>
      <t xml:space="preserve">(Group Gift)</t>
    </r>
  </si>
  <si>
    <r>
      <rPr>
        <sz val="11"/>
        <color theme="1"/>
        <rFont val="FreeSans"/>
        <family val="2"/>
      </rPr>
      <t xml:space="preserve">כמה אורחים מתאחדים למתנה אחת גדולה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טיסה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מקרר וכו</t>
    </r>
    <r>
      <rPr>
        <sz val="11"/>
        <color theme="1"/>
        <rFont val="Calibri"/>
        <family val="2"/>
        <charset val="1"/>
      </rPr>
      <t xml:space="preserve">')</t>
    </r>
  </si>
  <si>
    <t xml:space="preserve">חוויה ומתנה משמעותית</t>
  </si>
  <si>
    <t xml:space="preserve">בידול מול מתחרים</t>
  </si>
  <si>
    <r>
      <rPr>
        <sz val="11"/>
        <color theme="1"/>
        <rFont val="FreeSans"/>
        <family val="2"/>
      </rPr>
      <t xml:space="preserve">המרת מתנה לשובר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חוויה</t>
    </r>
  </si>
  <si>
    <r>
      <rPr>
        <sz val="11"/>
        <color theme="1"/>
        <rFont val="FreeSans"/>
        <family val="2"/>
      </rPr>
      <t xml:space="preserve">אפשרות לתת חוויה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ספא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מסעדה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במקום כסף</t>
    </r>
  </si>
  <si>
    <t xml:space="preserve">גיוון והתאמה אישית</t>
  </si>
  <si>
    <r>
      <rPr>
        <sz val="11"/>
        <color theme="1"/>
        <rFont val="FreeSans"/>
        <family val="2"/>
      </rPr>
      <t xml:space="preserve">שיתופי פעולה עם ספקים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הכנסה</t>
    </r>
  </si>
  <si>
    <t xml:space="preserve">נמוכה</t>
  </si>
  <si>
    <r>
      <rPr>
        <sz val="11"/>
        <color theme="1"/>
        <rFont val="Calibri"/>
        <family val="2"/>
        <charset val="1"/>
      </rPr>
      <t xml:space="preserve">RSVP </t>
    </r>
    <r>
      <rPr>
        <sz val="11"/>
        <color theme="1"/>
        <rFont val="FreeSans"/>
        <family val="2"/>
      </rPr>
      <t xml:space="preserve">וחוויה</t>
    </r>
  </si>
  <si>
    <r>
      <rPr>
        <sz val="11"/>
        <color theme="1"/>
        <rFont val="FreeSans"/>
        <family val="2"/>
      </rPr>
      <t xml:space="preserve">אישור הגעה חכם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ניווט</t>
    </r>
  </si>
  <si>
    <r>
      <rPr>
        <sz val="11"/>
        <color theme="1"/>
        <rFont val="Calibri"/>
        <family val="2"/>
        <charset val="1"/>
      </rPr>
      <t xml:space="preserve">RSVP </t>
    </r>
    <r>
      <rPr>
        <sz val="11"/>
        <color theme="1"/>
        <rFont val="FreeSans"/>
        <family val="2"/>
      </rPr>
      <t xml:space="preserve">עם תזכורת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חניה ושיבוץ שולחן בלחיצה</t>
    </r>
  </si>
  <si>
    <t xml:space="preserve">פחות בלבול ופחות שיחות</t>
  </si>
  <si>
    <t xml:space="preserve">פחות עומס בכניסה</t>
  </si>
  <si>
    <r>
      <rPr>
        <sz val="11"/>
        <color theme="1"/>
        <rFont val="Calibri"/>
        <family val="2"/>
        <charset val="1"/>
      </rPr>
      <t xml:space="preserve">Check-in </t>
    </r>
    <r>
      <rPr>
        <sz val="11"/>
        <color theme="1"/>
        <rFont val="FreeSans"/>
        <family val="2"/>
      </rPr>
      <t xml:space="preserve">בעמדה </t>
    </r>
    <r>
      <rPr>
        <sz val="11"/>
        <color theme="1"/>
        <rFont val="Calibri"/>
        <family val="2"/>
        <charset val="1"/>
      </rPr>
      <t xml:space="preserve">/ QR </t>
    </r>
    <r>
      <rPr>
        <sz val="11"/>
        <color theme="1"/>
        <rFont val="FreeSans"/>
        <family val="2"/>
      </rPr>
      <t xml:space="preserve">בכניסה</t>
    </r>
  </si>
  <si>
    <r>
      <rPr>
        <sz val="11"/>
        <color theme="1"/>
        <rFont val="FreeSans"/>
        <family val="2"/>
      </rPr>
      <t xml:space="preserve">סריקת </t>
    </r>
    <r>
      <rPr>
        <sz val="11"/>
        <color theme="1"/>
        <rFont val="Calibri"/>
        <family val="2"/>
        <charset val="1"/>
      </rPr>
      <t xml:space="preserve">QR/</t>
    </r>
    <r>
      <rPr>
        <sz val="11"/>
        <color theme="1"/>
        <rFont val="FreeSans"/>
        <family val="2"/>
      </rPr>
      <t xml:space="preserve">זיהוי בכניסה שמעדכן הגעה בזמן אמת</t>
    </r>
  </si>
  <si>
    <t xml:space="preserve">קבלת פנים חלקה</t>
  </si>
  <si>
    <t xml:space="preserve">דאטה מדויקת על נוכחות</t>
  </si>
  <si>
    <r>
      <rPr>
        <sz val="11"/>
        <color theme="1"/>
        <rFont val="FreeSans"/>
        <family val="2"/>
      </rPr>
      <t xml:space="preserve">ספר ברכות דיגיטלי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וידאו</t>
    </r>
  </si>
  <si>
    <r>
      <rPr>
        <sz val="11"/>
        <color theme="1"/>
        <rFont val="FreeSans"/>
        <family val="2"/>
      </rPr>
      <t xml:space="preserve">אורח משאיר ברכה בכתב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וידאו בעמדה</t>
    </r>
  </si>
  <si>
    <t xml:space="preserve">מזכרת רגשית</t>
  </si>
  <si>
    <r>
      <rPr>
        <sz val="11"/>
        <color theme="1"/>
        <rFont val="FreeSans"/>
        <family val="2"/>
      </rPr>
      <t xml:space="preserve">תוכן שיווקי לאולם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באישור</t>
    </r>
    <r>
      <rPr>
        <sz val="11"/>
        <color theme="1"/>
        <rFont val="Calibri"/>
        <family val="2"/>
        <charset val="1"/>
      </rPr>
      <t xml:space="preserve">)</t>
    </r>
  </si>
  <si>
    <t xml:space="preserve">גלריית תמונות חיה</t>
  </si>
  <si>
    <r>
      <rPr>
        <sz val="11"/>
        <color theme="1"/>
        <rFont val="FreeSans"/>
        <family val="2"/>
      </rPr>
      <t xml:space="preserve">העלאת תמונות אורחים למסך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אלבום משותף בזמן אמת</t>
    </r>
  </si>
  <si>
    <t xml:space="preserve">חוויה משותפת</t>
  </si>
  <si>
    <t xml:space="preserve">תוכן ממותג לאולם</t>
  </si>
  <si>
    <t xml:space="preserve">דאטה ולידים</t>
  </si>
  <si>
    <r>
      <rPr>
        <sz val="11"/>
        <color theme="1"/>
        <rFont val="Calibri"/>
        <family val="2"/>
        <charset val="1"/>
      </rPr>
      <t xml:space="preserve">CRM </t>
    </r>
    <r>
      <rPr>
        <sz val="11"/>
        <color theme="1"/>
        <rFont val="FreeSans"/>
        <family val="2"/>
      </rPr>
      <t xml:space="preserve">לידים חמים לאולם</t>
    </r>
  </si>
  <si>
    <r>
      <rPr>
        <sz val="11"/>
        <color theme="1"/>
        <rFont val="FreeSans"/>
        <family val="2"/>
      </rPr>
      <t xml:space="preserve">זיהוי אורחים פנויים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מאורסים → ליד לאולם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בהסכמה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</si>
  <si>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בידול מרכזי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לקוחות עתידיים</t>
    </r>
  </si>
  <si>
    <r>
      <rPr>
        <sz val="11"/>
        <color theme="1"/>
        <rFont val="FreeSans"/>
        <family val="2"/>
      </rPr>
      <t xml:space="preserve">דשבורד </t>
    </r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לבעל אירוע</t>
    </r>
  </si>
  <si>
    <r>
      <rPr>
        <sz val="11"/>
        <color theme="1"/>
        <rFont val="FreeSans"/>
        <family val="2"/>
      </rPr>
      <t xml:space="preserve">דוח בזמן אמת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כמה מתנות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ממוצע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נוכחות</t>
    </r>
  </si>
  <si>
    <t xml:space="preserve">שקיפות מלאה</t>
  </si>
  <si>
    <r>
      <rPr>
        <sz val="11"/>
        <color theme="1"/>
        <rFont val="FreeSans"/>
        <family val="2"/>
      </rPr>
      <t xml:space="preserve">הוכחת ערך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חידוש חוזה</t>
    </r>
  </si>
  <si>
    <t xml:space="preserve">ניתוח אנונימי לאולם</t>
  </si>
  <si>
    <r>
      <rPr>
        <sz val="11"/>
        <color theme="1"/>
        <rFont val="FreeSans"/>
        <family val="2"/>
      </rPr>
      <t xml:space="preserve">טרנדים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ממוצע מתנה לפי עונה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אזור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סוג אירוע</t>
    </r>
  </si>
  <si>
    <t xml:space="preserve">תמחור ותכנון מלאי חכם</t>
  </si>
  <si>
    <t xml:space="preserve">טכנולוגיה</t>
  </si>
  <si>
    <r>
      <rPr>
        <sz val="11"/>
        <color theme="1"/>
        <rFont val="FreeSans"/>
        <family val="2"/>
      </rPr>
      <t xml:space="preserve">אפליקציית אורח </t>
    </r>
    <r>
      <rPr>
        <sz val="11"/>
        <color theme="1"/>
        <rFont val="Calibri"/>
        <family val="2"/>
        <charset val="1"/>
      </rPr>
      <t xml:space="preserve">(PWA)</t>
    </r>
  </si>
  <si>
    <r>
      <rPr>
        <sz val="11"/>
        <color theme="1"/>
        <rFont val="FreeSans"/>
        <family val="2"/>
      </rPr>
      <t xml:space="preserve">אפליקציה קלה ללא התקנה — מתנה</t>
    </r>
    <r>
      <rPr>
        <sz val="11"/>
        <color theme="1"/>
        <rFont val="Calibri"/>
        <family val="2"/>
        <charset val="1"/>
      </rPr>
      <t xml:space="preserve">, RSVP, </t>
    </r>
    <r>
      <rPr>
        <sz val="11"/>
        <color theme="1"/>
        <rFont val="FreeSans"/>
        <family val="2"/>
      </rPr>
      <t xml:space="preserve">שיבוץ</t>
    </r>
  </si>
  <si>
    <t xml:space="preserve">חוויה אחת מרוכזת</t>
  </si>
  <si>
    <t xml:space="preserve">מיתוג אולם בכל אינטראקציה</t>
  </si>
  <si>
    <r>
      <rPr>
        <sz val="11"/>
        <color theme="1"/>
        <rFont val="FreeSans"/>
        <family val="2"/>
      </rPr>
      <t xml:space="preserve">עמדה במצב </t>
    </r>
    <r>
      <rPr>
        <sz val="11"/>
        <color theme="1"/>
        <rFont val="Calibri"/>
        <family val="2"/>
        <charset val="1"/>
      </rPr>
      <t xml:space="preserve">Offline + </t>
    </r>
    <r>
      <rPr>
        <sz val="11"/>
        <color theme="1"/>
        <rFont val="FreeSans"/>
        <family val="2"/>
      </rPr>
      <t xml:space="preserve">גיבוי סלולרי</t>
    </r>
  </si>
  <si>
    <t xml:space="preserve">העמדה ממשיכה לעבוד גם בנפילת אינטרנט</t>
  </si>
  <si>
    <t xml:space="preserve">אפס תקלות ביום הגדול</t>
  </si>
  <si>
    <r>
      <rPr>
        <sz val="11"/>
        <color theme="1"/>
        <rFont val="FreeSans"/>
        <family val="2"/>
      </rPr>
      <t xml:space="preserve">אמינות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אמון בשירות</t>
    </r>
  </si>
  <si>
    <r>
      <rPr>
        <sz val="11"/>
        <color theme="1"/>
        <rFont val="FreeSans"/>
        <family val="2"/>
      </rPr>
      <t xml:space="preserve">תמיכת קול</t>
    </r>
    <r>
      <rPr>
        <sz val="11"/>
        <color theme="1"/>
        <rFont val="Calibri"/>
        <family val="2"/>
        <charset val="1"/>
      </rPr>
      <t xml:space="preserve">/IVR (</t>
    </r>
    <r>
      <rPr>
        <sz val="11"/>
        <color theme="1"/>
        <rFont val="FreeSans"/>
        <family val="2"/>
      </rPr>
      <t xml:space="preserve">מסלול כשר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</si>
  <si>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מתנה</t>
    </r>
    <r>
      <rPr>
        <sz val="11"/>
        <color theme="1"/>
        <rFont val="Calibri"/>
        <family val="2"/>
        <charset val="1"/>
      </rPr>
      <t xml:space="preserve">/RSVP </t>
    </r>
    <r>
      <rPr>
        <sz val="11"/>
        <color theme="1"/>
        <rFont val="FreeSans"/>
        <family val="2"/>
      </rPr>
      <t xml:space="preserve">טלפוני ללא סמארטפון</t>
    </r>
  </si>
  <si>
    <r>
      <rPr>
        <sz val="11"/>
        <color theme="1"/>
        <rFont val="FreeSans"/>
        <family val="2"/>
      </rPr>
      <t xml:space="preserve">הכלת קהל מבוגר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חרדי</t>
    </r>
  </si>
  <si>
    <t xml:space="preserve">פתיחת מגזר חדש</t>
  </si>
  <si>
    <t xml:space="preserve">שיווק</t>
  </si>
  <si>
    <r>
      <rPr>
        <sz val="11"/>
        <color theme="1"/>
        <rFont val="FreeSans"/>
        <family val="2"/>
      </rPr>
      <t xml:space="preserve">דף נחיתה </t>
    </r>
    <r>
      <rPr>
        <sz val="11"/>
        <color theme="1"/>
        <rFont val="Calibri"/>
        <family val="2"/>
        <charset val="1"/>
      </rPr>
      <t xml:space="preserve">White-Label </t>
    </r>
    <r>
      <rPr>
        <sz val="11"/>
        <color theme="1"/>
        <rFont val="FreeSans"/>
        <family val="2"/>
      </rPr>
      <t xml:space="preserve">לכל אירוע</t>
    </r>
  </si>
  <si>
    <r>
      <rPr>
        <sz val="11"/>
        <color theme="1"/>
        <rFont val="FreeSans"/>
        <family val="2"/>
      </rPr>
      <t xml:space="preserve">דף ממותג אולם לכל אירוע — הזמנה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מתנה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ניווט</t>
    </r>
  </si>
  <si>
    <t xml:space="preserve">מראה מקצועי</t>
  </si>
  <si>
    <r>
      <rPr>
        <sz val="11"/>
        <color theme="1"/>
        <rFont val="FreeSans"/>
        <family val="2"/>
      </rPr>
      <t xml:space="preserve">כל הזמנה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מדיה לאולם</t>
    </r>
  </si>
  <si>
    <r>
      <rPr>
        <sz val="11"/>
        <color theme="1"/>
        <rFont val="FreeSans"/>
        <family val="2"/>
      </rPr>
      <t xml:space="preserve">תוכנית הפניות </t>
    </r>
    <r>
      <rPr>
        <sz val="11"/>
        <color theme="1"/>
        <rFont val="Calibri"/>
        <family val="2"/>
        <charset val="1"/>
      </rPr>
      <t xml:space="preserve">(Referral)</t>
    </r>
  </si>
  <si>
    <r>
      <rPr>
        <sz val="11"/>
        <color theme="1"/>
        <rFont val="FreeSans"/>
        <family val="2"/>
      </rPr>
      <t xml:space="preserve">בעל אירוע מרוצה ממליץ → הנחה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קרדיט</t>
    </r>
  </si>
  <si>
    <t xml:space="preserve">תמריץ כספי</t>
  </si>
  <si>
    <t xml:space="preserve">צמיחה אורגנית</t>
  </si>
  <si>
    <r>
      <rPr>
        <b val="true"/>
        <sz val="16"/>
        <color rgb="FF0E4A4F"/>
        <rFont val="FreeSans"/>
        <family val="2"/>
      </rPr>
      <t xml:space="preserve">ממשק משתמש לאולמות ואירועים </t>
    </r>
    <r>
      <rPr>
        <b val="true"/>
        <sz val="16"/>
        <color rgb="FF0E4A4F"/>
        <rFont val="Calibri"/>
        <family val="0"/>
        <charset val="1"/>
      </rPr>
      <t xml:space="preserve">+ </t>
    </r>
    <r>
      <rPr>
        <b val="true"/>
        <sz val="16"/>
        <color rgb="FF0E4A4F"/>
        <rFont val="FreeSans"/>
        <family val="2"/>
      </rPr>
      <t xml:space="preserve">אפשרויות הרחבה</t>
    </r>
  </si>
  <si>
    <r>
      <rPr>
        <i val="true"/>
        <sz val="10"/>
        <color rgb="FF555555"/>
        <rFont val="FreeSans"/>
        <family val="2"/>
      </rPr>
      <t xml:space="preserve">מפרט חוויית משתמש לשלושה סוגי משתמשים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ואחריו מפת הרחבה לסוגי אירועים נוספים </t>
    </r>
    <r>
      <rPr>
        <i val="true"/>
        <sz val="10"/>
        <color rgb="FF555555"/>
        <rFont val="Calibri"/>
        <family val="0"/>
        <charset val="1"/>
      </rPr>
      <t xml:space="preserve">(</t>
    </r>
    <r>
      <rPr>
        <i val="true"/>
        <sz val="10"/>
        <color rgb="FF555555"/>
        <rFont val="FreeSans"/>
        <family val="2"/>
      </rPr>
      <t xml:space="preserve">דינרים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תערוכות</t>
    </r>
    <r>
      <rPr>
        <i val="true"/>
        <sz val="10"/>
        <color rgb="FF555555"/>
        <rFont val="Calibri"/>
        <family val="0"/>
        <charset val="1"/>
      </rPr>
      <t xml:space="preserve">, </t>
    </r>
    <r>
      <rPr>
        <i val="true"/>
        <sz val="10"/>
        <color rgb="FF555555"/>
        <rFont val="FreeSans"/>
        <family val="2"/>
      </rPr>
      <t xml:space="preserve">עמדת תצוגה</t>
    </r>
    <r>
      <rPr>
        <i val="true"/>
        <sz val="10"/>
        <color rgb="FF555555"/>
        <rFont val="Calibri"/>
        <family val="0"/>
        <charset val="1"/>
      </rPr>
      <t xml:space="preserve">).</t>
    </r>
  </si>
  <si>
    <r>
      <rPr>
        <b val="true"/>
        <sz val="12"/>
        <color rgb="FFD19900"/>
        <rFont val="FreeSans"/>
        <family val="2"/>
      </rPr>
      <t xml:space="preserve">חלק א</t>
    </r>
    <r>
      <rPr>
        <b val="true"/>
        <sz val="12"/>
        <color rgb="FFD19900"/>
        <rFont val="Calibri"/>
        <family val="0"/>
        <charset val="1"/>
      </rPr>
      <t xml:space="preserve">' — </t>
    </r>
    <r>
      <rPr>
        <b val="true"/>
        <sz val="12"/>
        <color rgb="FFD19900"/>
        <rFont val="FreeSans"/>
        <family val="2"/>
      </rPr>
      <t xml:space="preserve">ממשק משתמש לפי סוג משתמש</t>
    </r>
  </si>
  <si>
    <t xml:space="preserve">סוג משתמש</t>
  </si>
  <si>
    <r>
      <rPr>
        <b val="true"/>
        <sz val="11"/>
        <color rgb="FFFFFFFF"/>
        <rFont val="FreeSans"/>
        <family val="2"/>
      </rPr>
      <t xml:space="preserve">מסך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ממשק</t>
    </r>
  </si>
  <si>
    <t xml:space="preserve">יכולות עיקריות</t>
  </si>
  <si>
    <r>
      <rPr>
        <b val="true"/>
        <sz val="11"/>
        <color rgb="FFFFFFFF"/>
        <rFont val="FreeSans"/>
        <family val="2"/>
      </rPr>
      <t xml:space="preserve">מטרת חוויה </t>
    </r>
    <r>
      <rPr>
        <b val="true"/>
        <sz val="11"/>
        <color rgb="FFFFFFFF"/>
        <rFont val="Calibri"/>
        <family val="0"/>
        <charset val="1"/>
      </rPr>
      <t xml:space="preserve">(UX)</t>
    </r>
  </si>
  <si>
    <r>
      <rPr>
        <sz val="11"/>
        <color theme="1"/>
        <rFont val="FreeSans"/>
        <family val="2"/>
      </rPr>
      <t xml:space="preserve">בעל האולם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אדמין</t>
    </r>
    <r>
      <rPr>
        <sz val="11"/>
        <color theme="1"/>
        <rFont val="Calibri"/>
        <family val="2"/>
        <charset val="1"/>
      </rPr>
      <t xml:space="preserve">)</t>
    </r>
  </si>
  <si>
    <t xml:space="preserve">דשבורד ניהול אולם</t>
  </si>
  <si>
    <r>
      <rPr>
        <sz val="11"/>
        <color theme="1"/>
        <rFont val="FreeSans"/>
        <family val="2"/>
      </rPr>
      <t xml:space="preserve">ניהול אירועים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יומן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חבילות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דוחות הכנסה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לידים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מיתוג </t>
    </r>
    <r>
      <rPr>
        <sz val="11"/>
        <color theme="1"/>
        <rFont val="Calibri"/>
        <family val="2"/>
        <charset val="1"/>
      </rPr>
      <t xml:space="preserve">White-Label</t>
    </r>
  </si>
  <si>
    <r>
      <rPr>
        <sz val="11"/>
        <color theme="1"/>
        <rFont val="FreeSans"/>
        <family val="2"/>
      </rPr>
      <t xml:space="preserve">שליטה מלאה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הוכחת </t>
    </r>
    <r>
      <rPr>
        <sz val="11"/>
        <color theme="1"/>
        <rFont val="Calibri"/>
        <family val="2"/>
        <charset val="1"/>
      </rPr>
      <t xml:space="preserve">ROI </t>
    </r>
    <r>
      <rPr>
        <sz val="11"/>
        <color theme="1"/>
        <rFont val="FreeSans"/>
        <family val="2"/>
      </rPr>
      <t xml:space="preserve">במבט אחד</t>
    </r>
  </si>
  <si>
    <t xml:space="preserve">מנהל אירוע באולם</t>
  </si>
  <si>
    <t xml:space="preserve">מסך תפעול אירוע</t>
  </si>
  <si>
    <r>
      <rPr>
        <sz val="11"/>
        <color theme="1"/>
        <rFont val="FreeSans"/>
        <family val="2"/>
      </rPr>
      <t xml:space="preserve">פתיחת אירוע בדקות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שיבוץ עמדה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סטטוס </t>
    </r>
    <r>
      <rPr>
        <sz val="11"/>
        <color theme="1"/>
        <rFont val="Calibri"/>
        <family val="2"/>
        <charset val="1"/>
      </rPr>
      <t xml:space="preserve">RSVP </t>
    </r>
    <r>
      <rPr>
        <sz val="11"/>
        <color theme="1"/>
        <rFont val="FreeSans"/>
        <family val="2"/>
      </rPr>
      <t xml:space="preserve">חי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אין</t>
    </r>
  </si>
  <si>
    <t xml:space="preserve">תפעול מהיר ביום האירוע ללא הדרכה</t>
  </si>
  <si>
    <r>
      <rPr>
        <sz val="11"/>
        <color theme="1"/>
        <rFont val="FreeSans"/>
        <family val="2"/>
      </rPr>
      <t xml:space="preserve">בעל האירוע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זוג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משפחה</t>
    </r>
    <r>
      <rPr>
        <sz val="11"/>
        <color theme="1"/>
        <rFont val="Calibri"/>
        <family val="2"/>
        <charset val="1"/>
      </rPr>
      <t xml:space="preserve">)</t>
    </r>
  </si>
  <si>
    <t xml:space="preserve">אזור אישי לאירוע</t>
  </si>
  <si>
    <r>
      <rPr>
        <sz val="11"/>
        <color theme="1"/>
        <rFont val="FreeSans"/>
        <family val="2"/>
      </rPr>
      <t xml:space="preserve">עריכת הזמנה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מעקב אישורי הגעה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סכום מתנות בזמן אמת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ייצוא דוח</t>
    </r>
  </si>
  <si>
    <t xml:space="preserve">שקט נפשי ושקיפות — הכל במקום אחד</t>
  </si>
  <si>
    <t xml:space="preserve">האורח</t>
  </si>
  <si>
    <r>
      <rPr>
        <sz val="11"/>
        <color theme="1"/>
        <rFont val="FreeSans"/>
        <family val="2"/>
      </rPr>
      <t xml:space="preserve">עמדה פיזית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קישור </t>
    </r>
    <r>
      <rPr>
        <sz val="11"/>
        <color theme="1"/>
        <rFont val="Calibri"/>
        <family val="2"/>
        <charset val="1"/>
      </rPr>
      <t xml:space="preserve">/ QR</t>
    </r>
  </si>
  <si>
    <r>
      <rPr>
        <sz val="11"/>
        <color theme="1"/>
        <rFont val="FreeSans"/>
        <family val="2"/>
      </rPr>
      <t xml:space="preserve">מתנה באשראי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דיגיטלי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אישור הגעה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ברכה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ניווט ושיבוץ שולחן</t>
    </r>
  </si>
  <si>
    <r>
      <rPr>
        <sz val="11"/>
        <color theme="1"/>
        <rFont val="FreeSans"/>
        <family val="2"/>
      </rPr>
      <t xml:space="preserve">פעולה אחת פשוטה ב</t>
    </r>
    <r>
      <rPr>
        <sz val="11"/>
        <color theme="1"/>
        <rFont val="Calibri"/>
        <family val="2"/>
        <charset val="1"/>
      </rPr>
      <t xml:space="preserve">-30 </t>
    </r>
    <r>
      <rPr>
        <sz val="11"/>
        <color theme="1"/>
        <rFont val="FreeSans"/>
        <family val="2"/>
      </rPr>
      <t xml:space="preserve">שניות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הורדה</t>
    </r>
  </si>
  <si>
    <r>
      <rPr>
        <sz val="11"/>
        <color theme="1"/>
        <rFont val="FreeSans"/>
        <family val="2"/>
      </rPr>
      <t xml:space="preserve">מנהל מערכת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שמחות פלוס</t>
    </r>
    <r>
      <rPr>
        <sz val="11"/>
        <color theme="1"/>
        <rFont val="Calibri"/>
        <family val="2"/>
        <charset val="1"/>
      </rPr>
      <t xml:space="preserve">)</t>
    </r>
  </si>
  <si>
    <t xml:space="preserve">קונסול תפעול ארצי</t>
  </si>
  <si>
    <r>
      <rPr>
        <sz val="11"/>
        <color theme="1"/>
        <rFont val="FreeSans"/>
        <family val="2"/>
      </rPr>
      <t xml:space="preserve">ניטור עמדות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סליקה</t>
    </r>
    <r>
      <rPr>
        <sz val="11"/>
        <color theme="1"/>
        <rFont val="Calibri"/>
        <family val="2"/>
        <charset val="1"/>
      </rPr>
      <t xml:space="preserve">, SLA, </t>
    </r>
    <r>
      <rPr>
        <sz val="11"/>
        <color theme="1"/>
        <rFont val="FreeSans"/>
        <family val="2"/>
      </rPr>
      <t xml:space="preserve">התראות תקלה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ניהול ספקים</t>
    </r>
  </si>
  <si>
    <t xml:space="preserve">אמינות תפעולית ותמיכה פרואקטיבית</t>
  </si>
  <si>
    <r>
      <rPr>
        <b val="true"/>
        <sz val="12"/>
        <color rgb="FFD19900"/>
        <rFont val="FreeSans"/>
        <family val="2"/>
      </rPr>
      <t xml:space="preserve">חלק ב</t>
    </r>
    <r>
      <rPr>
        <b val="true"/>
        <sz val="12"/>
        <color rgb="FFD19900"/>
        <rFont val="Calibri"/>
        <family val="0"/>
        <charset val="1"/>
      </rPr>
      <t xml:space="preserve">' — </t>
    </r>
    <r>
      <rPr>
        <b val="true"/>
        <sz val="12"/>
        <color rgb="FFD19900"/>
        <rFont val="FreeSans"/>
        <family val="2"/>
      </rPr>
      <t xml:space="preserve">עקרונות עיצוב חוויה</t>
    </r>
  </si>
  <si>
    <t xml:space="preserve">עיקרון</t>
  </si>
  <si>
    <t xml:space="preserve">יישום בפועל</t>
  </si>
  <si>
    <t xml:space="preserve">פשטות קיצונית לאורח</t>
  </si>
  <si>
    <r>
      <rPr>
        <sz val="11"/>
        <color theme="1"/>
        <rFont val="FreeSans"/>
        <family val="2"/>
      </rPr>
      <t xml:space="preserve">ללא הרשמה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הורדה — מתנה ב</t>
    </r>
    <r>
      <rPr>
        <sz val="11"/>
        <color theme="1"/>
        <rFont val="Calibri"/>
        <family val="2"/>
        <charset val="1"/>
      </rPr>
      <t xml:space="preserve">-30 </t>
    </r>
    <r>
      <rPr>
        <sz val="11"/>
        <color theme="1"/>
        <rFont val="FreeSans"/>
        <family val="2"/>
      </rPr>
      <t xml:space="preserve">שניות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כפתור גדול אחד</t>
    </r>
  </si>
  <si>
    <r>
      <rPr>
        <sz val="11"/>
        <color theme="1"/>
        <rFont val="FreeSans"/>
        <family val="2"/>
      </rPr>
      <t xml:space="preserve">נגישות רב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דורית</t>
    </r>
  </si>
  <si>
    <r>
      <rPr>
        <sz val="11"/>
        <color theme="1"/>
        <rFont val="FreeSans"/>
        <family val="2"/>
      </rPr>
      <t xml:space="preserve">פונט גדול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ניגודיות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תמיכת קול</t>
    </r>
    <r>
      <rPr>
        <sz val="11"/>
        <color theme="1"/>
        <rFont val="Calibri"/>
        <family val="2"/>
        <charset val="1"/>
      </rPr>
      <t xml:space="preserve">/IVR </t>
    </r>
    <r>
      <rPr>
        <sz val="11"/>
        <color theme="1"/>
        <rFont val="FreeSans"/>
        <family val="2"/>
      </rPr>
      <t xml:space="preserve">למסלול כשר ומבוגרים</t>
    </r>
  </si>
  <si>
    <t xml:space="preserve">מיתוג האולם בכל מסך</t>
  </si>
  <si>
    <r>
      <rPr>
        <sz val="11"/>
        <color theme="1"/>
        <rFont val="FreeSans"/>
        <family val="2"/>
      </rPr>
      <t xml:space="preserve">לוגו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צבעים ותמונות האולם — כל אינטראקציה היא פרסום</t>
    </r>
  </si>
  <si>
    <t xml:space="preserve">זמן אמת ושקיפות</t>
  </si>
  <si>
    <r>
      <rPr>
        <sz val="11"/>
        <color theme="1"/>
        <rFont val="FreeSans"/>
        <family val="2"/>
      </rPr>
      <t xml:space="preserve">סכום מתנות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נוכחות ודוחות מתעדכנים חי לבעל האירוע ולאולם</t>
    </r>
  </si>
  <si>
    <t xml:space="preserve">אפס נקודות כשל</t>
  </si>
  <si>
    <r>
      <rPr>
        <sz val="11"/>
        <color theme="1"/>
        <rFont val="FreeSans"/>
        <family val="2"/>
      </rPr>
      <t xml:space="preserve">מצב </t>
    </r>
    <r>
      <rPr>
        <sz val="11"/>
        <color theme="1"/>
        <rFont val="Calibri"/>
        <family val="2"/>
        <charset val="1"/>
      </rPr>
      <t xml:space="preserve">Offline, </t>
    </r>
    <r>
      <rPr>
        <sz val="11"/>
        <color theme="1"/>
        <rFont val="FreeSans"/>
        <family val="2"/>
      </rPr>
      <t xml:space="preserve">גיבוי סלולרי וחשמל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תמיכת </t>
    </r>
    <r>
      <rPr>
        <sz val="11"/>
        <color theme="1"/>
        <rFont val="Calibri"/>
        <family val="2"/>
        <charset val="1"/>
      </rPr>
      <t xml:space="preserve">SLA </t>
    </r>
    <r>
      <rPr>
        <sz val="11"/>
        <color theme="1"/>
        <rFont val="FreeSans"/>
        <family val="2"/>
      </rPr>
      <t xml:space="preserve">ביום האירוע</t>
    </r>
  </si>
  <si>
    <t xml:space="preserve">דאטה אחראית</t>
  </si>
  <si>
    <r>
      <rPr>
        <sz val="11"/>
        <color theme="1"/>
        <rFont val="FreeSans"/>
        <family val="2"/>
      </rPr>
      <t xml:space="preserve">הסכמה מפורשת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פרטיות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וניהול לידים לפי חוק</t>
    </r>
  </si>
  <si>
    <r>
      <rPr>
        <b val="true"/>
        <sz val="12"/>
        <color rgb="FFD19900"/>
        <rFont val="FreeSans"/>
        <family val="2"/>
      </rPr>
      <t xml:space="preserve">חלק ג</t>
    </r>
    <r>
      <rPr>
        <b val="true"/>
        <sz val="12"/>
        <color rgb="FFD19900"/>
        <rFont val="Calibri"/>
        <family val="0"/>
        <charset val="1"/>
      </rPr>
      <t xml:space="preserve">' — </t>
    </r>
    <r>
      <rPr>
        <b val="true"/>
        <sz val="12"/>
        <color rgb="FFD19900"/>
        <rFont val="FreeSans"/>
        <family val="2"/>
      </rPr>
      <t xml:space="preserve">אפשרויות הרחבה לסוגי אירועים</t>
    </r>
  </si>
  <si>
    <t xml:space="preserve">סוג אירוע</t>
  </si>
  <si>
    <t xml:space="preserve">התאמת המוצר</t>
  </si>
  <si>
    <r>
      <rPr>
        <b val="true"/>
        <sz val="11"/>
        <color rgb="FFFFFFFF"/>
        <rFont val="FreeSans"/>
        <family val="2"/>
      </rPr>
      <t xml:space="preserve">עמדת תצוגה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תרומה</t>
    </r>
  </si>
  <si>
    <t xml:space="preserve">הזדמנות הכנסה</t>
  </si>
  <si>
    <r>
      <rPr>
        <sz val="11"/>
        <color theme="1"/>
        <rFont val="FreeSans"/>
        <family val="2"/>
      </rPr>
      <t xml:space="preserve">חתונות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בר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בת מצווה</t>
    </r>
  </si>
  <si>
    <r>
      <rPr>
        <sz val="11"/>
        <color theme="1"/>
        <rFont val="FreeSans"/>
        <family val="2"/>
      </rPr>
      <t xml:space="preserve">ליבת המוצר — מתנה</t>
    </r>
    <r>
      <rPr>
        <sz val="11"/>
        <color theme="1"/>
        <rFont val="Calibri"/>
        <family val="2"/>
        <charset val="1"/>
      </rPr>
      <t xml:space="preserve">+RSVP+</t>
    </r>
    <r>
      <rPr>
        <sz val="11"/>
        <color theme="1"/>
        <rFont val="FreeSans"/>
        <family val="2"/>
      </rPr>
      <t xml:space="preserve">עמדה</t>
    </r>
  </si>
  <si>
    <t xml:space="preserve">עמדת מתנות אשראי בכניסה</t>
  </si>
  <si>
    <r>
      <rPr>
        <sz val="11"/>
        <color theme="1"/>
        <rFont val="FreeSans"/>
        <family val="2"/>
      </rPr>
      <t xml:space="preserve">עמלת סליקה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דמי הקמה</t>
    </r>
  </si>
  <si>
    <t xml:space="preserve">ליבה</t>
  </si>
  <si>
    <r>
      <rPr>
        <sz val="11"/>
        <color theme="1"/>
        <rFont val="FreeSans"/>
        <family val="2"/>
      </rPr>
      <t xml:space="preserve">דינרים והתרמות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עמותות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</si>
  <si>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מודול תרומה במקום מתנה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קבלה ל</t>
    </r>
    <r>
      <rPr>
        <sz val="11"/>
        <color theme="1"/>
        <rFont val="Calibri"/>
        <family val="2"/>
        <charset val="1"/>
      </rPr>
      <t xml:space="preserve">-46</t>
    </r>
    <r>
      <rPr>
        <sz val="11"/>
        <color theme="1"/>
        <rFont val="FreeSans"/>
        <family val="2"/>
      </rPr>
      <t xml:space="preserve">א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</si>
  <si>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FreeSans"/>
        <family val="2"/>
      </rPr>
      <t xml:space="preserve">עמדת תרומה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מסך יעד התרמה חי</t>
    </r>
  </si>
  <si>
    <r>
      <rPr>
        <sz val="11"/>
        <color theme="1"/>
        <rFont val="FreeSans"/>
        <family val="2"/>
      </rPr>
      <t xml:space="preserve">עמלת סליקה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מנוי שנתי לעמותה</t>
    </r>
  </si>
  <si>
    <r>
      <rPr>
        <sz val="11"/>
        <color theme="1"/>
        <rFont val="FreeSans"/>
        <family val="2"/>
      </rPr>
      <t xml:space="preserve">כנסים ותערוכות </t>
    </r>
    <r>
      <rPr>
        <sz val="11"/>
        <color theme="1"/>
        <rFont val="Calibri"/>
        <family val="2"/>
        <charset val="1"/>
      </rPr>
      <t xml:space="preserve">B2B</t>
    </r>
  </si>
  <si>
    <r>
      <rPr>
        <sz val="11"/>
        <color theme="1"/>
        <rFont val="FreeSans"/>
        <family val="2"/>
      </rPr>
      <t xml:space="preserve">עמדת תצוגה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לידים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תשלום כניסה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מוצר</t>
    </r>
  </si>
  <si>
    <r>
      <rPr>
        <sz val="11"/>
        <color theme="1"/>
        <rFont val="FreeSans"/>
        <family val="2"/>
      </rPr>
      <t xml:space="preserve">עמדת תצוגת מוצרים </t>
    </r>
    <r>
      <rPr>
        <sz val="11"/>
        <color theme="1"/>
        <rFont val="Calibri"/>
        <family val="2"/>
        <charset val="1"/>
      </rPr>
      <t xml:space="preserve">+ Check-in </t>
    </r>
    <r>
      <rPr>
        <sz val="11"/>
        <color theme="1"/>
        <rFont val="FreeSans"/>
        <family val="2"/>
      </rPr>
      <t xml:space="preserve">מבקרים</t>
    </r>
  </si>
  <si>
    <t xml:space="preserve">אירועי חברה</t>
  </si>
  <si>
    <r>
      <rPr>
        <sz val="11"/>
        <color theme="1"/>
        <rFont val="Calibri"/>
        <family val="2"/>
        <charset val="1"/>
      </rPr>
      <t xml:space="preserve">RSVP + </t>
    </r>
    <r>
      <rPr>
        <sz val="11"/>
        <color theme="1"/>
        <rFont val="FreeSans"/>
        <family val="2"/>
      </rPr>
      <t xml:space="preserve">סקרים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תשלום עובד אופציונלי</t>
    </r>
  </si>
  <si>
    <r>
      <rPr>
        <sz val="11"/>
        <color theme="1"/>
        <rFont val="FreeSans"/>
        <family val="2"/>
      </rPr>
      <t xml:space="preserve">עמדת מידע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הצבעה</t>
    </r>
  </si>
  <si>
    <t xml:space="preserve">חבילת אירוע ארגוני</t>
  </si>
  <si>
    <r>
      <rPr>
        <sz val="11"/>
        <color theme="1"/>
        <rFont val="FreeSans"/>
        <family val="2"/>
      </rPr>
      <t xml:space="preserve">ברית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אירוסין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חינה</t>
    </r>
  </si>
  <si>
    <t xml:space="preserve">גרסה מוקטנת של חבילת השמחה</t>
  </si>
  <si>
    <t xml:space="preserve">עמדת מתנה קומפקטית</t>
  </si>
  <si>
    <t xml:space="preserve">דמי הקמה מופחתים</t>
  </si>
  <si>
    <t xml:space="preserve">אירועי מגזר חרדי</t>
  </si>
  <si>
    <r>
      <rPr>
        <sz val="11"/>
        <color theme="1"/>
        <rFont val="FreeSans"/>
        <family val="2"/>
      </rPr>
      <t xml:space="preserve">מסלול כשר</t>
    </r>
    <r>
      <rPr>
        <sz val="11"/>
        <color theme="1"/>
        <rFont val="Calibri"/>
        <family val="2"/>
        <charset val="1"/>
      </rPr>
      <t xml:space="preserve">: IVR, </t>
    </r>
    <r>
      <rPr>
        <sz val="11"/>
        <color theme="1"/>
        <rFont val="FreeSans"/>
        <family val="2"/>
      </rPr>
      <t xml:space="preserve">ללא סמארטפון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הפרדה</t>
    </r>
  </si>
  <si>
    <r>
      <rPr>
        <sz val="11"/>
        <color theme="1"/>
        <rFont val="FreeSans"/>
        <family val="2"/>
      </rPr>
      <t xml:space="preserve">עמדות גברים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נשים נפרדות</t>
    </r>
  </si>
  <si>
    <r>
      <rPr>
        <sz val="11"/>
        <color theme="1"/>
        <rFont val="FreeSans"/>
        <family val="2"/>
      </rPr>
      <t xml:space="preserve">שותפות נדרים פלוס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נש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פ</t>
    </r>
  </si>
  <si>
    <r>
      <rPr>
        <i val="true"/>
        <sz val="10"/>
        <color rgb="FF555555"/>
        <rFont val="FreeSans"/>
        <family val="2"/>
      </rPr>
      <t xml:space="preserve">הערה</t>
    </r>
    <r>
      <rPr>
        <i val="true"/>
        <sz val="10"/>
        <color rgb="FF555555"/>
        <rFont val="Calibri"/>
        <family val="0"/>
        <charset val="1"/>
      </rPr>
      <t xml:space="preserve">: </t>
    </r>
    <r>
      <rPr>
        <i val="true"/>
        <sz val="10"/>
        <color rgb="FF555555"/>
        <rFont val="FreeSans"/>
        <family val="2"/>
      </rPr>
      <t xml:space="preserve">כל הרחבה היא החלטת המשתמש — מודולרית וניתנת להפעלה</t>
    </r>
    <r>
      <rPr>
        <i val="true"/>
        <sz val="10"/>
        <color rgb="FF555555"/>
        <rFont val="Calibri"/>
        <family val="0"/>
        <charset val="1"/>
      </rPr>
      <t xml:space="preserve">/</t>
    </r>
    <r>
      <rPr>
        <i val="true"/>
        <sz val="10"/>
        <color rgb="FF555555"/>
        <rFont val="FreeSans"/>
        <family val="2"/>
      </rPr>
      <t xml:space="preserve">כיבוי לפי אולם וסוג אירוע</t>
    </r>
    <r>
      <rPr>
        <i val="true"/>
        <sz val="10"/>
        <color rgb="FF555555"/>
        <rFont val="Calibri"/>
        <family val="0"/>
        <charset val="1"/>
      </rPr>
      <t xml:space="preserve">.</t>
    </r>
  </si>
  <si>
    <t xml:space="preserve">תוכנית עבודה רב-שנתית | Roadmap תפעולי ומסחרי</t>
  </si>
  <si>
    <t xml:space="preserve">תוכנית לפי רבעונים, אבני דרך, אחראים ויעדי עמדות. יעד: נקודת איזון סביב 18 עמדות והתרחבות ל-450 עמדות ב-2031.</t>
  </si>
  <si>
    <t xml:space="preserve">תקופה</t>
  </si>
  <si>
    <t xml:space="preserve">משימות מרכזיות</t>
  </si>
  <si>
    <t xml:space="preserve">אחראי</t>
  </si>
  <si>
    <t xml:space="preserve">יעד עמדות סוף תקופה</t>
  </si>
  <si>
    <t xml:space="preserve">KPI / אבן דרך</t>
  </si>
  <si>
    <t xml:space="preserve">Q1 2026</t>
  </si>
  <si>
    <t xml:space="preserve">מוצר/תפעול</t>
  </si>
  <si>
    <t xml:space="preserve">פיילוט 5-10 עמדות, בדיקות סליקה, חוזה אולם ראשון, SLA תפעולי</t>
  </si>
  <si>
    <t xml:space="preserve">מנכ״ל + CTO</t>
  </si>
  <si>
    <t xml:space="preserve">10</t>
  </si>
  <si>
    <t xml:space="preserve">עמדה עובדת, 0 תקלות קריטיות, 3 אולמות בפיילוט</t>
  </si>
  <si>
    <t xml:space="preserve">Q2 2026</t>
  </si>
  <si>
    <t xml:space="preserve">מכירות</t>
  </si>
  <si>
    <t xml:space="preserve">השקת חבילת אולם, דף נחיתה White Label, CRM לידים, 20 אולמות יעד</t>
  </si>
  <si>
    <t xml:space="preserve">18</t>
  </si>
  <si>
    <t xml:space="preserve">נקודת איזון תפעולית, 50 אירועים מצטברים</t>
  </si>
  <si>
    <t xml:space="preserve">Q3 2026</t>
  </si>
  <si>
    <t xml:space="preserve">צמיחה</t>
  </si>
  <si>
    <t xml:space="preserve">הרחבת אזורי מרכז/שרון/ירושלים, גיוס נציג שטח, אוטומציית דוחות</t>
  </si>
  <si>
    <t xml:space="preserve">מכירות + Ops</t>
  </si>
  <si>
    <t xml:space="preserve">20</t>
  </si>
  <si>
    <t xml:space="preserve">20 עמדות פעילות, NPS &gt; 45</t>
  </si>
  <si>
    <t xml:space="preserve">Q4 2026</t>
  </si>
  <si>
    <t xml:space="preserve">Q1 2027</t>
  </si>
  <si>
    <t xml:space="preserve">סקייל</t>
  </si>
  <si>
    <t xml:space="preserve">הרחבה ל-60 עמדות, חוזי מסגרת עם רשתות אולמות, שירות לקוחות 7/24 באירועים</t>
  </si>
  <si>
    <t xml:space="preserve">COO</t>
  </si>
  <si>
    <t xml:space="preserve">60</t>
  </si>
  <si>
    <t xml:space="preserve">EBITDA חיובי, 300 אירועים בשנה</t>
  </si>
  <si>
    <t xml:space="preserve">Q2 2027</t>
  </si>
  <si>
    <t xml:space="preserve">Q3 2027</t>
  </si>
  <si>
    <t xml:space="preserve">Q4 2027</t>
  </si>
  <si>
    <t xml:space="preserve">Q1 2028</t>
  </si>
  <si>
    <t xml:space="preserve">מוצר מתקדם</t>
  </si>
  <si>
    <t xml:space="preserve">מודול חרדי/IVR, שותף נדרים פלוס, דשבורד אולמות, API יצוא לידים</t>
  </si>
  <si>
    <t xml:space="preserve">CTO + שותפויות</t>
  </si>
  <si>
    <t xml:space="preserve">120 עמדות, 10 אולמות חרדיים</t>
  </si>
  <si>
    <t xml:space="preserve">Q2 2028</t>
  </si>
  <si>
    <t xml:space="preserve">Q3 2028</t>
  </si>
  <si>
    <t xml:space="preserve">Q4 2028</t>
  </si>
  <si>
    <t xml:space="preserve">Q1 2029</t>
  </si>
  <si>
    <t xml:space="preserve">חדירה ארצית</t>
  </si>
  <si>
    <t xml:space="preserve">כניסה לצפון/דרום בקצב גבוה, צוות התקנות, מלאי עמדות ותמיכה אזורית</t>
  </si>
  <si>
    <t xml:space="preserve">COO + מכירות</t>
  </si>
  <si>
    <t xml:space="preserve">200 עמדות, כיסוי ארצי</t>
  </si>
  <si>
    <t xml:space="preserve">Q2 2029</t>
  </si>
  <si>
    <t xml:space="preserve">Q3 2029</t>
  </si>
  <si>
    <t xml:space="preserve">Q4 2029</t>
  </si>
  <si>
    <t xml:space="preserve">Q1 2030</t>
  </si>
  <si>
    <t xml:space="preserve">אופטימיזציה</t>
  </si>
  <si>
    <t xml:space="preserve">שיפור רווחיות, מסלולי מנוי לאולם, פרסום ממומן דרך דפי נחיתה</t>
  </si>
  <si>
    <t xml:space="preserve">מנכ״ל + שיווק</t>
  </si>
  <si>
    <t xml:space="preserve">300 עמדות, CAC יורד 20%</t>
  </si>
  <si>
    <t xml:space="preserve">Q2 2030</t>
  </si>
  <si>
    <t xml:space="preserve">Q3 2030</t>
  </si>
  <si>
    <t xml:space="preserve">Q4 2030</t>
  </si>
  <si>
    <t xml:space="preserve">Q1 2031</t>
  </si>
  <si>
    <t xml:space="preserve">מובילות שוק</t>
  </si>
  <si>
    <t xml:space="preserve">450 עמדות, שותפויות אסטרטגיות, הרחבת אירועים מעבר לחתונות</t>
  </si>
  <si>
    <t xml:space="preserve">הנהלה</t>
  </si>
  <si>
    <t xml:space="preserve">50% חדירה לשוק האולמות המאוגדים</t>
  </si>
  <si>
    <t xml:space="preserve">Q2 2031</t>
  </si>
  <si>
    <t xml:space="preserve">Q3 2031</t>
  </si>
  <si>
    <t xml:space="preserve">Q4 2031</t>
  </si>
  <si>
    <t xml:space="preserve">מקורות ו-URL</t>
  </si>
  <si>
    <t xml:space="preserve">מקורות המחקר ששולבו בגיליון ובמצגת. יש לבצע אימות מסחרי/משפטי לפני חתימה עם לקוחות או מתחרים.</t>
  </si>
  <si>
    <t xml:space="preserve">שם מקור</t>
  </si>
  <si>
    <t xml:space="preserve">URL</t>
  </si>
  <si>
    <t xml:space="preserve">תאריך איסוף</t>
  </si>
  <si>
    <t xml:space="preserve">שימוש</t>
  </si>
  <si>
    <t xml:space="preserve">מתחרים</t>
  </si>
  <si>
    <t xml:space="preserve">Easy2Give - תנאי שימוש</t>
  </si>
  <si>
    <t xml:space="preserve">https://www.easy2gift.co.il/umbraco/surface/Easy2GiveSurface/Introduction</t>
  </si>
  <si>
    <t xml:space="preserve">יוני 2026</t>
  </si>
  <si>
    <t xml:space="preserve">שימש לתמחור/תנאים/נתוני שוק</t>
  </si>
  <si>
    <t xml:space="preserve">Easy2Give - אודות מתנות באשראי</t>
  </si>
  <si>
    <t xml:space="preserve">https://easy2give.co.il/knowledge-center-posts/%D7%90%D7%95%D7%93%D7%95%D7%AA-%D7%94%D7%A9%D7%99%D7%A8%D7%95%D7%AA-%D7%94%D7%A2%D7%A0%D7%A7%D7%AA-%D7%9E%D7%AA%D7%A0%D7%94-%D7%91%D7%90%D7%A9%D7%A8%D7%90%D7%99-2/</t>
  </si>
  <si>
    <t xml:space="preserve">Easy2Give - מבצע RSVP 2026</t>
  </si>
  <si>
    <t xml:space="preserve">https://easy2give.co.il/specialsale/</t>
  </si>
  <si>
    <t xml:space="preserve">https://www.mako.co.il/news-money/2023_q2/Article-a0701191fda9881026.htm</t>
  </si>
  <si>
    <t xml:space="preserve">DigitalPick - אתר וחבילות</t>
  </si>
  <si>
    <t xml:space="preserve">https://digitalpick.co.il</t>
  </si>
  <si>
    <t xml:space="preserve">DigitalPick - חנות אונליין</t>
  </si>
  <si>
    <t xml:space="preserve">https://www.digitalpick.co.il/shop/</t>
  </si>
  <si>
    <t xml:space="preserve">DigitalPick - Mit4Mit</t>
  </si>
  <si>
    <t xml:space="preserve">https://www.mit4mit.co.il/biz/94758</t>
  </si>
  <si>
    <t xml:space="preserve">MyInvite - מתנות באשראי ותקנון</t>
  </si>
  <si>
    <t xml:space="preserve">https://myinvite.co.il/%D7%9E%D7%AA%D7%A0%D7%95%D7%AA-%D7%91%D7%90%D7%A9%D7%A8%D7%90%D7%99/</t>
  </si>
  <si>
    <t xml:space="preserve">MyInvite - מחיר RSVP</t>
  </si>
  <si>
    <t xml:space="preserve">https://myinvite.co.il/%D7%90%D7%99%D7%A9%D7%95%D7%A8%D7%99-%D7%94%D7%92%D7%A2%D7%94/%D7%90%D7%99%D7%A9%D7%95%D7%A8%D7%99-%D7%94%D7%92%D7%A2%D7%94-%D7%9E%D7%97%D7%99%D7%A8/</t>
  </si>
  <si>
    <t xml:space="preserve">MyInvite - Mit4Mit</t>
  </si>
  <si>
    <t xml:space="preserve">https://www.mit4mit.co.il/biz/102182</t>
  </si>
  <si>
    <t xml:space="preserve">DIGINET - חבילות ומחירים</t>
  </si>
  <si>
    <t xml:space="preserve">https://www.diginet.co.il/%D7%97%D7%91%D7%99%D7%9C%D7%95%D7%AA_%D7%95%D7%9E%D7%97%D7%99%D7%A8%D7%99%D7%9D</t>
  </si>
  <si>
    <t xml:space="preserve">DIGINET - מתנות באשראי</t>
  </si>
  <si>
    <t xml:space="preserve">https://www.diginet.co.il/%D7%9E%D7%AA%D7%A0%D7%95%D7%AA_%D7%91%D7%90%D7%A9%D7%A8%D7%90%D7%99</t>
  </si>
  <si>
    <t xml:space="preserve">DIGINET - Mit4Mit</t>
  </si>
  <si>
    <t xml:space="preserve">https://www.mit4mit.co.il/biz/94145</t>
  </si>
  <si>
    <t xml:space="preserve">Wedix - מתנות באשראי</t>
  </si>
  <si>
    <t xml:space="preserve">https://www.wedix.co.il/page.aspx?cat=8&amp;cat-sub=109</t>
  </si>
  <si>
    <t xml:space="preserve">Wedix - יתרונות וחסרונות</t>
  </si>
  <si>
    <t xml:space="preserve">https://www.wedix.co.il/page.aspx?cat=5&amp;cat-sub=103</t>
  </si>
  <si>
    <t xml:space="preserve">Attending - אתר</t>
  </si>
  <si>
    <t xml:space="preserve">https://attending.co.il</t>
  </si>
  <si>
    <t xml:space="preserve">Attending - מחירים</t>
  </si>
  <si>
    <t xml:space="preserve">https://attending.co.il/prices</t>
  </si>
  <si>
    <t xml:space="preserve">https://www.magiimolo.co.il/%D7%9E%D7%97%D7%99%D7%A8%D7%95%D7%9F-%D7%90%D7%99%D7%A9%D7%95%D7%A8%D7%99-%D7%94%D7%92%D7%A2%D7%94-%D7%9C%D7%97%D7%AA%D7%95%D7%A0%D7%94-%D7%90%D7%99%D7%A8%D7%95%D7%A2-2/</t>
  </si>
  <si>
    <t xml:space="preserve">https://mazlatgift.co.il/%D7%AA%D7%A7%D7%A0%D7%95%D7%9F-%D7%94%D7%90%D7%AA%D7%A8/</t>
  </si>
  <si>
    <t xml:space="preserve">Mazalit - אתר</t>
  </si>
  <si>
    <t xml:space="preserve">https://mazalit.com</t>
  </si>
  <si>
    <t xml:space="preserve">שוק/אולמות</t>
  </si>
  <si>
    <t xml:space="preserve">https://www.cbs.gov.il/he/mediarelease/DocLib/2024/253/11_24_253b.pdf</t>
  </si>
  <si>
    <t xml:space="preserve">https://ulamot.co.il</t>
  </si>
  <si>
    <t xml:space="preserve">Mit4Mit - אולמות אירועים</t>
  </si>
  <si>
    <t xml:space="preserve">https://www.mit4mit.co.il/category/325</t>
  </si>
  <si>
    <t xml:space="preserve">Mit4Mit - אולמות מרכז</t>
  </si>
  <si>
    <t xml:space="preserve">https://www.mit4mit.co.il/category/325/%D7%90%D7%96%D7%95%D7%A8:%D7%9E%D7%A8%D7%9B%D7%96</t>
  </si>
  <si>
    <t xml:space="preserve">Mit4Mit - גני אירועים צפון</t>
  </si>
  <si>
    <t xml:space="preserve">https://www.mit4mit.co.il/category/331/%D7%90%D7%96%D7%95%D7%A8:%D7%A6%D7%A4%D7%95%D7%9F</t>
  </si>
  <si>
    <t xml:space="preserve">Mit4Mit - אולמות דרום</t>
  </si>
  <si>
    <t xml:space="preserve">https://www.mit4mit.co.il/category/325/%D7%90%D7%96%D7%95%D7%A8:%D7%93%D7%A8%D7%95%D7%9D</t>
  </si>
  <si>
    <t xml:space="preserve">Mit4Mit - אולמות שרון</t>
  </si>
  <si>
    <t xml:space="preserve">https://www.mit4mit.co.il/category/325/%D7%90%D7%96%D7%95%D7%A8:%D7%A9%D7%A8%D7%95%D7%9F</t>
  </si>
  <si>
    <t xml:space="preserve">AllPlaces - אולמות</t>
  </si>
  <si>
    <t xml:space="preserve">https://allplaces.co.il/place_type/%D7%90%D7%95%D7%9C%D7%9D/</t>
  </si>
  <si>
    <t xml:space="preserve">https://www.b144.co.il/PriceList/%D7%90%D7%95%D7%9C%D7%9E%D7%95%D7%AA-%D7%95%D7%92%D7%A0%D7%99-%D7%90%D7%99%D7%A8%D7%95%D7%A2%D7%99%D7%9D/</t>
  </si>
  <si>
    <t xml:space="preserve">דפי זהב - מחירון אירועים</t>
  </si>
  <si>
    <t xml:space="preserve">https://www.d.co.il/priceList-990/</t>
  </si>
  <si>
    <t xml:space="preserve">https://www.ice.co.il/consumerism/news/article/1064767</t>
  </si>
  <si>
    <t xml:space="preserve">https://www.mit4mit.co.il/blog/article/6804b722eeee0d5676ade57c</t>
  </si>
  <si>
    <t xml:space="preserve">Mako/N12 - עלות חתונה 2025</t>
  </si>
  <si>
    <t xml:space="preserve">https://www.mako.co.il/news-specials/data_n12/Article-d63f6b035bc1791026.htm</t>
  </si>
  <si>
    <t xml:space="preserve">https://www.ynet.co.il/judaism/article/bk6lpkzzgg</t>
  </si>
  <si>
    <t xml:space="preserve">אולמות</t>
  </si>
  <si>
    <r>
      <rPr>
        <sz val="11"/>
        <color theme="1"/>
        <rFont val="Calibri"/>
        <family val="2"/>
        <charset val="1"/>
      </rPr>
      <t xml:space="preserve">Mit4Mit - </t>
    </r>
    <r>
      <rPr>
        <sz val="11"/>
        <color theme="1"/>
        <rFont val="FreeSans"/>
        <family val="2"/>
      </rPr>
      <t xml:space="preserve">אינדקס אולמות וגנים</t>
    </r>
  </si>
  <si>
    <r>
      <rPr>
        <sz val="11"/>
        <color theme="1"/>
        <rFont val="FreeSans"/>
        <family val="2"/>
      </rPr>
      <t xml:space="preserve">יוני </t>
    </r>
    <r>
      <rPr>
        <sz val="11"/>
        <color theme="1"/>
        <rFont val="Calibri"/>
        <family val="2"/>
        <charset val="1"/>
      </rPr>
      <t xml:space="preserve">2026</t>
    </r>
  </si>
  <si>
    <t xml:space="preserve">מיפוי אולמות ארצי</t>
  </si>
  <si>
    <r>
      <rPr>
        <sz val="11"/>
        <color theme="1"/>
        <rFont val="Calibri"/>
        <family val="2"/>
        <charset val="1"/>
      </rPr>
      <t xml:space="preserve">Walla </t>
    </r>
    <r>
      <rPr>
        <sz val="11"/>
        <color theme="1"/>
        <rFont val="FreeSans"/>
        <family val="2"/>
      </rPr>
      <t xml:space="preserve">מזל טוב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אולמות וגנים</t>
    </r>
  </si>
  <si>
    <t xml:space="preserve">https://mazaltov.walla.co.il/event-place/</t>
  </si>
  <si>
    <r>
      <rPr>
        <sz val="11"/>
        <color theme="1"/>
        <rFont val="Calibri"/>
        <family val="2"/>
        <charset val="1"/>
      </rPr>
      <t xml:space="preserve">MazalDay - </t>
    </r>
    <r>
      <rPr>
        <sz val="11"/>
        <color theme="1"/>
        <rFont val="FreeSans"/>
        <family val="2"/>
      </rPr>
      <t xml:space="preserve">ספקי אולמות</t>
    </r>
  </si>
  <si>
    <t xml:space="preserve">https://www.mazalday.com/providers/category/reception-hall</t>
  </si>
  <si>
    <t xml:space="preserve">מיפוי אולמות</t>
  </si>
  <si>
    <r>
      <rPr>
        <sz val="11"/>
        <color theme="1"/>
        <rFont val="Calibri"/>
        <family val="2"/>
        <charset val="1"/>
      </rPr>
      <t xml:space="preserve">B7Net - </t>
    </r>
    <r>
      <rPr>
        <sz val="11"/>
        <color theme="1"/>
        <rFont val="FreeSans"/>
        <family val="2"/>
      </rPr>
      <t xml:space="preserve">אולמות באר שבע והדרום</t>
    </r>
  </si>
  <si>
    <t xml:space="preserve">מיפוי אולמות דרום</t>
  </si>
  <si>
    <r>
      <rPr>
        <sz val="11"/>
        <color theme="1"/>
        <rFont val="Calibri"/>
        <family val="2"/>
        <charset val="1"/>
      </rPr>
      <t xml:space="preserve">Mekomot Eruim - </t>
    </r>
    <r>
      <rPr>
        <sz val="11"/>
        <color theme="1"/>
        <rFont val="FreeSans"/>
        <family val="2"/>
      </rPr>
      <t xml:space="preserve">מקומות לאירועים</t>
    </r>
  </si>
  <si>
    <r>
      <rPr>
        <sz val="11"/>
        <color theme="1"/>
        <rFont val="Calibri"/>
        <family val="2"/>
        <charset val="1"/>
      </rPr>
      <t xml:space="preserve">iPlan - </t>
    </r>
    <r>
      <rPr>
        <sz val="11"/>
        <color theme="1"/>
        <rFont val="FreeSans"/>
        <family val="2"/>
      </rPr>
      <t xml:space="preserve">מתחמי אירועים</t>
    </r>
  </si>
  <si>
    <t xml:space="preserve">מיפוי אולמות צפון</t>
  </si>
  <si>
    <r>
      <rPr>
        <sz val="11"/>
        <color theme="1"/>
        <rFont val="Calibri"/>
        <family val="2"/>
        <charset val="1"/>
      </rPr>
      <t xml:space="preserve">HaLocation - </t>
    </r>
    <r>
      <rPr>
        <sz val="11"/>
        <color theme="1"/>
        <rFont val="FreeSans"/>
        <family val="2"/>
      </rPr>
      <t xml:space="preserve">לוקיישנים לאירועים</t>
    </r>
  </si>
  <si>
    <t xml:space="preserve">מיפוי אולמות אורבניים</t>
  </si>
  <si>
    <r>
      <rPr>
        <sz val="11"/>
        <color theme="1"/>
        <rFont val="Calibri"/>
        <family val="2"/>
        <charset val="1"/>
      </rPr>
      <t xml:space="preserve">AllPlaces - </t>
    </r>
    <r>
      <rPr>
        <sz val="11"/>
        <color theme="1"/>
        <rFont val="FreeSans"/>
        <family val="2"/>
      </rPr>
      <t xml:space="preserve">אולמות</t>
    </r>
  </si>
  <si>
    <t xml:space="preserve">https://allplaces.co.il</t>
  </si>
  <si>
    <r>
      <rPr>
        <sz val="11"/>
        <color theme="1"/>
        <rFont val="Calibri"/>
        <family val="2"/>
        <charset val="1"/>
      </rPr>
      <t xml:space="preserve">Britot - </t>
    </r>
    <r>
      <rPr>
        <sz val="11"/>
        <color theme="1"/>
        <rFont val="FreeSans"/>
        <family val="2"/>
      </rPr>
      <t xml:space="preserve">אולמות וגנים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</si>
</sst>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&quot; ₪&quot;"/>
    <numFmt numFmtId="167" formatCode="0.0%"/>
    <numFmt numFmtId="168" formatCode="\₪#,##0"/>
    <numFmt numFmtId="169" formatCode="0&quot; אירועים&quot;"/>
    <numFmt numFmtId="170" formatCode="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8251D"/>
      <name val="Arial"/>
      <family val="0"/>
      <charset val="1"/>
    </font>
    <font>
      <b val="true"/>
      <sz val="10"/>
      <color rgb="FF0E4A4F"/>
      <name val="FreeSans"/>
      <family val="2"/>
    </font>
    <font>
      <b val="true"/>
      <sz val="10"/>
      <color rgb="FF0E4A4F"/>
      <name val="Calibri"/>
      <family val="0"/>
      <charset val="1"/>
    </font>
    <font>
      <sz val="10"/>
      <name val="FreeSans"/>
      <family val="2"/>
    </font>
    <font>
      <sz val="10"/>
      <name val="Calibri"/>
      <family val="0"/>
      <charset val="1"/>
    </font>
    <font>
      <sz val="11"/>
      <color theme="1"/>
      <name val="Arial"/>
      <family val="2"/>
      <charset val="1"/>
    </font>
    <font>
      <b val="true"/>
      <sz val="16"/>
      <color rgb="FF0C4E54"/>
      <name val="Arial"/>
      <family val="0"/>
      <charset val="1"/>
    </font>
    <font>
      <sz val="10"/>
      <color rgb="FF7A797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A7974"/>
      <name val="Arial"/>
      <family val="0"/>
      <charset val="1"/>
    </font>
    <font>
      <b val="true"/>
      <sz val="16"/>
      <color rgb="FF0E4A4F"/>
      <name val="FreeSans"/>
      <family val="2"/>
    </font>
    <font>
      <b val="true"/>
      <sz val="16"/>
      <color rgb="FF0E4A4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i val="true"/>
      <sz val="10"/>
      <color rgb="FF555555"/>
      <name val="FreeSans"/>
      <family val="2"/>
    </font>
    <font>
      <b val="true"/>
      <sz val="12"/>
      <color rgb="FFD19900"/>
      <name val="FreeSans"/>
      <family val="2"/>
    </font>
    <font>
      <b val="true"/>
      <sz val="12"/>
      <color rgb="FFD19900"/>
      <name val="Calibri"/>
      <family val="0"/>
      <charset val="1"/>
    </font>
    <font>
      <b val="true"/>
      <sz val="11"/>
      <color rgb="FFFFFFFF"/>
      <name val="FreeSans"/>
      <family val="2"/>
    </font>
    <font>
      <sz val="11"/>
      <color theme="1"/>
      <name val="FreeSans"/>
      <family val="2"/>
    </font>
    <font>
      <b val="true"/>
      <sz val="11"/>
      <name val="FreeSans"/>
      <family val="2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666666"/>
      <name val="FreeSans"/>
      <family val="2"/>
    </font>
    <font>
      <i val="true"/>
      <sz val="9"/>
      <color rgb="FF666666"/>
      <name val="Calibri"/>
      <family val="0"/>
      <charset val="1"/>
    </font>
    <font>
      <b val="true"/>
      <sz val="12"/>
      <color rgb="FF28251D"/>
      <name val="Arial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2631F"/>
      <name val="FreeSans"/>
      <family val="2"/>
    </font>
    <font>
      <sz val="12"/>
      <color theme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0E4A4F"/>
      </patternFill>
    </fill>
    <fill>
      <patternFill patternType="solid">
        <fgColor rgb="FF2E75B6"/>
        <bgColor rgb="FF426FA6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F4F8F8"/>
      </patternFill>
    </fill>
    <fill>
      <patternFill patternType="solid">
        <fgColor rgb="FF01696F"/>
        <bgColor rgb="FF008080"/>
      </patternFill>
    </fill>
    <fill>
      <patternFill patternType="solid">
        <fgColor rgb="FFFFF2CC"/>
        <bgColor rgb="FFFFF0C2"/>
      </patternFill>
    </fill>
    <fill>
      <patternFill patternType="solid">
        <fgColor rgb="FFE2F0D9"/>
        <bgColor rgb="FFDCEEF0"/>
      </patternFill>
    </fill>
    <fill>
      <patternFill patternType="solid">
        <fgColor rgb="FF0E4A4F"/>
        <bgColor rgb="FF0C4E54"/>
      </patternFill>
    </fill>
    <fill>
      <patternFill patternType="solid">
        <fgColor rgb="FFFFFFFF"/>
        <bgColor rgb="FFF4F8F8"/>
      </patternFill>
    </fill>
    <fill>
      <patternFill patternType="solid">
        <fgColor rgb="FFF4F8F8"/>
        <bgColor rgb="FFF2F2F2"/>
      </patternFill>
    </fill>
    <fill>
      <patternFill patternType="solid">
        <fgColor rgb="FFDCEEF0"/>
        <bgColor rgb="FFDDEBF7"/>
      </patternFill>
    </fill>
    <fill>
      <patternFill patternType="solid">
        <fgColor rgb="FFDDEBF7"/>
        <bgColor rgb="FFDCEEF0"/>
      </patternFill>
    </fill>
    <fill>
      <patternFill patternType="solid">
        <fgColor rgb="FFC6E5C6"/>
        <bgColor rgb="FFD9D9D9"/>
      </patternFill>
    </fill>
    <fill>
      <patternFill patternType="solid">
        <fgColor rgb="FFFFF0C2"/>
        <bgColor rgb="FFFFF2CC"/>
      </patternFill>
    </fill>
    <fill>
      <patternFill patternType="solid">
        <fgColor rgb="FFF2D9D9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4" fillId="3" borderId="0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4" fillId="3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0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7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8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tru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10" borderId="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21" fillId="11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11" borderId="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22" fillId="12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23" fillId="12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11" borderId="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1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true" indent="0" shrinkToFit="false" readingOrder="2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0" borderId="2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1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0" fillId="10" borderId="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6" fontId="28" fillId="11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0" fillId="11" borderId="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7" fontId="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9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9" fillId="0" borderId="5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0" fontId="4" fillId="0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9" fontId="12" fillId="6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2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1696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4A4F"/>
          <bgColor rgb="FF000000"/>
        </patternFill>
      </fill>
    </dxf>
    <dxf>
      <fill>
        <patternFill patternType="solid">
          <fgColor rgb="FFF4F8F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5C6"/>
          <bgColor rgb="FF000000"/>
        </patternFill>
      </fill>
    </dxf>
    <dxf>
      <fill>
        <patternFill patternType="solid">
          <fgColor rgb="FFF2D9D9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22631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22631F"/>
      <rgbColor rgb="FF000080"/>
      <rgbColor rgb="FF7A7974"/>
      <rgbColor rgb="FF800080"/>
      <rgbColor rgb="FF01696F"/>
      <rgbColor rgb="FFBFBFBF"/>
      <rgbColor rgb="FF878787"/>
      <rgbColor rgb="FF8EA5CA"/>
      <rgbColor rgb="FFAA433F"/>
      <rgbColor rgb="FFFFF2CC"/>
      <rgbColor rgb="FFDCEEF0"/>
      <rgbColor rgb="FF660066"/>
      <rgbColor rgb="FFDB8238"/>
      <rgbColor rgb="FF426FA6"/>
      <rgbColor rgb="FFD9D9D9"/>
      <rgbColor rgb="FF000080"/>
      <rgbColor rgb="FFFF00FF"/>
      <rgbColor rgb="FFF4F8F8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0C2"/>
      <rgbColor rgb="FFC6E5C6"/>
      <rgbColor rgb="FFD9E1F2"/>
      <rgbColor rgb="FFD4D1CA"/>
      <rgbColor rgb="FFF2D9D9"/>
      <rgbColor rgb="FF2E75B6"/>
      <rgbColor rgb="FF33CCCC"/>
      <rgbColor rgb="FF99CC00"/>
      <rgbColor rgb="FFFFCC00"/>
      <rgbColor rgb="FFD19900"/>
      <rgbColor rgb="FFFF6600"/>
      <rgbColor rgb="FF6F568D"/>
      <rgbColor rgb="FF87A44B"/>
      <rgbColor rgb="FF1F3864"/>
      <rgbColor rgb="FF3D97AF"/>
      <rgbColor rgb="FF0E4A4F"/>
      <rgbColor rgb="FF0C4E54"/>
      <rgbColor rgb="FF666666"/>
      <rgbColor rgb="FF555555"/>
      <rgbColor rgb="FF1F4E7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צמיחת עמדות | 2025-2031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'🗓️ תחזית 7 שנים'!$C$34:$I$34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'🗓️ תחזית 7 שנים'!$C$37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'🗓️ תחזית 7 שנים'!$C$34:$I$34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'🗓️ תחזית 7 שנים'!$D$37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'🗓️ תחזית 7 שנים'!$C$34:$I$34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'🗓️ תחזית 7 שנים'!$E$37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'🗓️ תחזית 7 שנים'!$C$34:$I$34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'🗓️ תחזית 7 שנים'!$F$37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'🗓️ תחזית 7 שנים'!$C$34:$I$34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'🗓️ תחזית 7 שנים'!$G$37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'🗓️ תחזית 7 שנים'!$C$34:$I$34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'🗓️ תחזית 7 שנים'!$H$37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'🗓️ תחזית 7 שנים'!$C$34:$I$34</c:f>
              <c:strCache>
                <c:ptCount val="7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'🗓️ תחזית 7 שנים'!$I$37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076324"/>
        <c:axId val="12634234"/>
      </c:lineChart>
      <c:catAx>
        <c:axId val="380763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634234"/>
        <c:crosses val="autoZero"/>
        <c:auto val="1"/>
        <c:lblAlgn val="ctr"/>
        <c:lblOffset val="100"/>
        <c:noMultiLvlLbl val="0"/>
      </c:catAx>
      <c:valAx>
        <c:axId val="12634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0763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-564840</xdr:colOff>
      <xdr:row>38</xdr:row>
      <xdr:rowOff>0</xdr:rowOff>
    </xdr:from>
    <xdr:to>
      <xdr:col>15</xdr:col>
      <xdr:colOff>-1013400</xdr:colOff>
      <xdr:row>56</xdr:row>
      <xdr:rowOff>168840</xdr:rowOff>
    </xdr:to>
    <xdr:graphicFrame>
      <xdr:nvGraphicFramePr>
        <xdr:cNvPr id="1" name="Chart 1"/>
        <xdr:cNvGraphicFramePr/>
      </xdr:nvGraphicFramePr>
      <xdr:xfrm>
        <a:off x="-14595120" y="10468080"/>
        <a:ext cx="5757840" cy="35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easy2gift.co.il/umbraco/surface/Easy2GiveSurface/Introduction" TargetMode="External"/><Relationship Id="rId2" Type="http://schemas.openxmlformats.org/officeDocument/2006/relationships/hyperlink" Target="https://easy2give.co.il/knowledge-center-posts/&#1488;&#1493;&#1491;&#1493;&#1514;-&#1492;&#1513;&#1497;&#1512;&#1493;&#1514;-&#1492;&#1506;&#1504;&#1511;&#1514;-&#1502;&#1514;&#1504;&#1492;-&#1489;&#1488;&#1513;&#1512;&#1488;&#1497;-2/" TargetMode="External"/><Relationship Id="rId3" Type="http://schemas.openxmlformats.org/officeDocument/2006/relationships/hyperlink" Target="https://easy2give.co.il/specialsale/" TargetMode="External"/><Relationship Id="rId4" Type="http://schemas.openxmlformats.org/officeDocument/2006/relationships/hyperlink" Target="https://www.mako.co.il/news-money/2023_q2/Article-a0701191fda9881026.htm" TargetMode="External"/><Relationship Id="rId5" Type="http://schemas.openxmlformats.org/officeDocument/2006/relationships/hyperlink" Target="https://digitalpick.co.il/" TargetMode="External"/><Relationship Id="rId6" Type="http://schemas.openxmlformats.org/officeDocument/2006/relationships/hyperlink" Target="https://www.digitalpick.co.il/shop/" TargetMode="External"/><Relationship Id="rId7" Type="http://schemas.openxmlformats.org/officeDocument/2006/relationships/hyperlink" Target="https://www.mit4mit.co.il/biz/94758" TargetMode="External"/><Relationship Id="rId8" Type="http://schemas.openxmlformats.org/officeDocument/2006/relationships/hyperlink" Target="https://myinvite.co.il/&#1502;&#1514;&#1504;&#1493;&#1514;-&#1489;&#1488;&#1513;&#1512;&#1488;&#1497;/" TargetMode="External"/><Relationship Id="rId9" Type="http://schemas.openxmlformats.org/officeDocument/2006/relationships/hyperlink" Target="https://myinvite.co.il/&#1488;&#1497;&#1513;&#1493;&#1512;&#1497;-&#1492;&#1490;&#1506;&#1492;/&#1488;&#1497;&#1513;&#1493;&#1512;&#1497;-&#1492;&#1490;&#1506;&#1492;-&#1502;&#1495;&#1497;&#1512;/" TargetMode="External"/><Relationship Id="rId10" Type="http://schemas.openxmlformats.org/officeDocument/2006/relationships/hyperlink" Target="https://www.mit4mit.co.il/biz/102182" TargetMode="External"/><Relationship Id="rId11" Type="http://schemas.openxmlformats.org/officeDocument/2006/relationships/hyperlink" Target="https://www.diginet.co.il/&#1495;&#1489;&#1497;&#1500;&#1493;&#1514;_&#1493;&#1502;&#1495;&#1497;&#1512;&#1497;&#1501;" TargetMode="External"/><Relationship Id="rId12" Type="http://schemas.openxmlformats.org/officeDocument/2006/relationships/hyperlink" Target="https://www.diginet.co.il/&#1502;&#1514;&#1504;&#1493;&#1514;_&#1489;&#1488;&#1513;&#1512;&#1488;&#1497;" TargetMode="External"/><Relationship Id="rId13" Type="http://schemas.openxmlformats.org/officeDocument/2006/relationships/hyperlink" Target="https://www.mit4mit.co.il/biz/94145" TargetMode="External"/><Relationship Id="rId14" Type="http://schemas.openxmlformats.org/officeDocument/2006/relationships/hyperlink" Target="https://www.wedix.co.il/page.aspx?cat=8&amp;cat-sub=109" TargetMode="External"/><Relationship Id="rId15" Type="http://schemas.openxmlformats.org/officeDocument/2006/relationships/hyperlink" Target="https://www.wedix.co.il/page.aspx?cat=5&amp;cat-sub=103" TargetMode="External"/><Relationship Id="rId16" Type="http://schemas.openxmlformats.org/officeDocument/2006/relationships/hyperlink" Target="https://attending.co.il/" TargetMode="External"/><Relationship Id="rId17" Type="http://schemas.openxmlformats.org/officeDocument/2006/relationships/hyperlink" Target="https://attending.co.il/prices" TargetMode="External"/><Relationship Id="rId18" Type="http://schemas.openxmlformats.org/officeDocument/2006/relationships/hyperlink" Target="https://www.magiimolo.co.il/&#1502;&#1495;&#1497;&#1512;&#1493;&#1503;-&#1488;&#1497;&#1513;&#1493;&#1512;&#1497;-&#1492;&#1490;&#1506;&#1492;-&#1500;&#1495;&#1514;&#1493;&#1504;&#1492;-&#1488;&#1497;&#1512;&#1493;&#1506;-2/" TargetMode="External"/><Relationship Id="rId19" Type="http://schemas.openxmlformats.org/officeDocument/2006/relationships/hyperlink" Target="https://mazlatgift.co.il/&#1514;&#1511;&#1504;&#1493;&#1503;-&#1492;&#1488;&#1514;&#1512;/" TargetMode="External"/><Relationship Id="rId20" Type="http://schemas.openxmlformats.org/officeDocument/2006/relationships/hyperlink" Target="https://mazalit.com/" TargetMode="External"/><Relationship Id="rId21" Type="http://schemas.openxmlformats.org/officeDocument/2006/relationships/hyperlink" Target="https://www.cbs.gov.il/he/mediarelease/DocLib/2024/253/11_24_253b.pdf" TargetMode="External"/><Relationship Id="rId22" Type="http://schemas.openxmlformats.org/officeDocument/2006/relationships/hyperlink" Target="https://ulamot.co.il/" TargetMode="External"/><Relationship Id="rId23" Type="http://schemas.openxmlformats.org/officeDocument/2006/relationships/hyperlink" Target="https://www.mit4mit.co.il/category/325" TargetMode="External"/><Relationship Id="rId24" Type="http://schemas.openxmlformats.org/officeDocument/2006/relationships/hyperlink" Target="https://www.mit4mit.co.il/category/325/&#1488;&#1494;&#1493;&#1512;:&#1502;&#1512;&#1499;&#1494;" TargetMode="External"/><Relationship Id="rId25" Type="http://schemas.openxmlformats.org/officeDocument/2006/relationships/hyperlink" Target="https://www.mit4mit.co.il/category/331/&#1488;&#1494;&#1493;&#1512;:&#1510;&#1508;&#1493;&#1503;" TargetMode="External"/><Relationship Id="rId26" Type="http://schemas.openxmlformats.org/officeDocument/2006/relationships/hyperlink" Target="https://www.mit4mit.co.il/category/325/&#1488;&#1494;&#1493;&#1512;:&#1491;&#1512;&#1493;&#1501;" TargetMode="External"/><Relationship Id="rId27" Type="http://schemas.openxmlformats.org/officeDocument/2006/relationships/hyperlink" Target="https://www.mit4mit.co.il/category/325/&#1488;&#1494;&#1493;&#1512;:&#1513;&#1512;&#1493;&#1503;" TargetMode="External"/><Relationship Id="rId28" Type="http://schemas.openxmlformats.org/officeDocument/2006/relationships/hyperlink" Target="https://allplaces.co.il/place_type/&#1488;&#1493;&#1500;&#1501;/" TargetMode="External"/><Relationship Id="rId29" Type="http://schemas.openxmlformats.org/officeDocument/2006/relationships/hyperlink" Target="https://www.b144.co.il/PriceList/&#1488;&#1493;&#1500;&#1502;&#1493;&#1514;-&#1493;&#1490;&#1504;&#1497;-&#1488;&#1497;&#1512;&#1493;&#1506;&#1497;&#1501;/" TargetMode="External"/><Relationship Id="rId30" Type="http://schemas.openxmlformats.org/officeDocument/2006/relationships/hyperlink" Target="https://www.d.co.il/priceList-990/" TargetMode="External"/><Relationship Id="rId31" Type="http://schemas.openxmlformats.org/officeDocument/2006/relationships/hyperlink" Target="https://www.ice.co.il/consumerism/news/article/1064767" TargetMode="External"/><Relationship Id="rId32" Type="http://schemas.openxmlformats.org/officeDocument/2006/relationships/hyperlink" Target="https://www.mit4mit.co.il/blog/article/6804b722eeee0d5676ade57c" TargetMode="External"/><Relationship Id="rId33" Type="http://schemas.openxmlformats.org/officeDocument/2006/relationships/hyperlink" Target="https://www.mako.co.il/news-specials/data_n12/Article-d63f6b035bc1791026.htm" TargetMode="External"/><Relationship Id="rId34" Type="http://schemas.openxmlformats.org/officeDocument/2006/relationships/hyperlink" Target="https://www.ynet.co.il/judaism/article/bk6lpkzzgg" TargetMode="External"/><Relationship Id="rId35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4" min="4" style="1" width="70"/>
  </cols>
  <sheetData>
    <row r="1" customFormat="false" ht="27.75" hidden="false" customHeight="true" outlineLevel="0" collapsed="false">
      <c r="A1" s="2"/>
      <c r="B1" s="2"/>
      <c r="C1" s="2"/>
      <c r="D1" s="2"/>
    </row>
    <row r="2" customFormat="false" ht="37.5" hidden="false" customHeight="true" outlineLevel="0" collapsed="false">
      <c r="A2" s="2"/>
      <c r="B2" s="3" t="s">
        <v>0</v>
      </c>
      <c r="C2" s="3"/>
      <c r="D2" s="3"/>
    </row>
    <row r="3" customFormat="false" ht="27.75" hidden="false" customHeight="true" outlineLevel="0" collapsed="false">
      <c r="A3" s="2"/>
      <c r="B3" s="4" t="s">
        <v>1</v>
      </c>
      <c r="C3" s="4"/>
      <c r="D3" s="4"/>
    </row>
    <row r="4" customFormat="false" ht="27.75" hidden="false" customHeight="true" outlineLevel="0" collapsed="false">
      <c r="A4" s="2"/>
      <c r="B4" s="5" t="s">
        <v>2</v>
      </c>
      <c r="C4" s="5"/>
      <c r="D4" s="5"/>
    </row>
    <row r="5" customFormat="false" ht="27.75" hidden="false" customHeight="true" outlineLevel="0" collapsed="false">
      <c r="A5" s="2"/>
      <c r="B5" s="2"/>
      <c r="C5" s="2"/>
      <c r="D5" s="2"/>
    </row>
    <row r="6" customFormat="false" ht="27.75" hidden="false" customHeight="true" outlineLevel="0" collapsed="false">
      <c r="A6" s="2"/>
      <c r="B6" s="3" t="s">
        <v>3</v>
      </c>
      <c r="C6" s="3"/>
      <c r="D6" s="3"/>
    </row>
    <row r="7" customFormat="false" ht="27.75" hidden="false" customHeight="true" outlineLevel="0" collapsed="false">
      <c r="A7" s="2"/>
      <c r="B7" s="6" t="s">
        <v>4</v>
      </c>
      <c r="C7" s="7" t="s">
        <v>5</v>
      </c>
      <c r="D7" s="8" t="s">
        <v>6</v>
      </c>
    </row>
    <row r="8" customFormat="false" ht="27.75" hidden="false" customHeight="true" outlineLevel="0" collapsed="false">
      <c r="A8" s="2"/>
      <c r="B8" s="6" t="s">
        <v>7</v>
      </c>
      <c r="C8" s="7" t="s">
        <v>8</v>
      </c>
      <c r="D8" s="9" t="s">
        <v>9</v>
      </c>
    </row>
    <row r="9" customFormat="false" ht="27.75" hidden="false" customHeight="true" outlineLevel="0" collapsed="false">
      <c r="A9" s="2"/>
      <c r="B9" s="6" t="s">
        <v>10</v>
      </c>
      <c r="C9" s="7" t="s">
        <v>11</v>
      </c>
      <c r="D9" s="8" t="s">
        <v>12</v>
      </c>
    </row>
    <row r="10" customFormat="false" ht="27.75" hidden="false" customHeight="true" outlineLevel="0" collapsed="false">
      <c r="A10" s="2"/>
      <c r="B10" s="6" t="s">
        <v>13</v>
      </c>
      <c r="C10" s="7" t="s">
        <v>14</v>
      </c>
      <c r="D10" s="8" t="s">
        <v>15</v>
      </c>
    </row>
    <row r="11" customFormat="false" ht="27.75" hidden="false" customHeight="true" outlineLevel="0" collapsed="false">
      <c r="A11" s="2"/>
      <c r="B11" s="6" t="s">
        <v>16</v>
      </c>
      <c r="C11" s="7" t="s">
        <v>17</v>
      </c>
      <c r="D11" s="8" t="s">
        <v>18</v>
      </c>
    </row>
    <row r="12" customFormat="false" ht="27.75" hidden="false" customHeight="true" outlineLevel="0" collapsed="false">
      <c r="A12" s="2"/>
      <c r="B12" s="6" t="s">
        <v>19</v>
      </c>
      <c r="C12" s="7" t="s">
        <v>20</v>
      </c>
      <c r="D12" s="8" t="s">
        <v>21</v>
      </c>
    </row>
    <row r="13" customFormat="false" ht="27.75" hidden="false" customHeight="true" outlineLevel="0" collapsed="false">
      <c r="A13" s="2"/>
      <c r="B13" s="6" t="s">
        <v>22</v>
      </c>
      <c r="C13" s="7" t="s">
        <v>23</v>
      </c>
      <c r="D13" s="8" t="s">
        <v>24</v>
      </c>
    </row>
    <row r="14" customFormat="false" ht="27.75" hidden="false" customHeight="true" outlineLevel="0" collapsed="false">
      <c r="A14" s="10"/>
      <c r="B14" s="11" t="s">
        <v>25</v>
      </c>
      <c r="C14" s="12" t="s">
        <v>26</v>
      </c>
      <c r="D14" s="13" t="s">
        <v>27</v>
      </c>
    </row>
    <row r="15" customFormat="false" ht="27.75" hidden="false" customHeight="true" outlineLevel="0" collapsed="false">
      <c r="A15" s="10"/>
      <c r="B15" s="11" t="s">
        <v>28</v>
      </c>
      <c r="C15" s="12" t="s">
        <v>29</v>
      </c>
      <c r="D15" s="13" t="s">
        <v>30</v>
      </c>
    </row>
    <row r="16" customFormat="false" ht="27.75" hidden="false" customHeight="true" outlineLevel="0" collapsed="false">
      <c r="A16" s="10"/>
      <c r="B16" s="11" t="s">
        <v>31</v>
      </c>
      <c r="C16" s="12" t="s">
        <v>32</v>
      </c>
      <c r="D16" s="13" t="s">
        <v>33</v>
      </c>
    </row>
    <row r="17" customFormat="false" ht="27.75" hidden="false" customHeight="true" outlineLevel="0" collapsed="false">
      <c r="A17" s="10"/>
      <c r="B17" s="11" t="s">
        <v>34</v>
      </c>
      <c r="C17" s="12" t="s">
        <v>35</v>
      </c>
      <c r="D17" s="13" t="s">
        <v>36</v>
      </c>
    </row>
    <row r="18" customFormat="false" ht="27.75" hidden="false" customHeight="true" outlineLevel="0" collapsed="false">
      <c r="A18" s="10"/>
      <c r="B18" s="10" t="s">
        <v>37</v>
      </c>
      <c r="C18" s="14" t="s">
        <v>38</v>
      </c>
      <c r="D18" s="15" t="s">
        <v>39</v>
      </c>
    </row>
    <row r="19" customFormat="false" ht="27.75" hidden="false" customHeight="true" outlineLevel="0" collapsed="false">
      <c r="A19" s="10"/>
      <c r="B19" s="10" t="s">
        <v>40</v>
      </c>
      <c r="C19" s="14" t="s">
        <v>41</v>
      </c>
      <c r="D19" s="15" t="s">
        <v>42</v>
      </c>
    </row>
    <row r="20" customFormat="false" ht="15" hidden="false" customHeight="false" outlineLevel="0" collapsed="false">
      <c r="B20" s="1" t="s">
        <v>43</v>
      </c>
      <c r="C20" s="16" t="s">
        <v>44</v>
      </c>
      <c r="D20" s="13" t="s">
        <v>45</v>
      </c>
    </row>
  </sheetData>
  <mergeCells count="4">
    <mergeCell ref="B2:D2"/>
    <mergeCell ref="B3:D3"/>
    <mergeCell ref="B4:D4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5" min="4" style="1" width="28"/>
    <col collapsed="false" customWidth="true" hidden="false" outlineLevel="0" max="7" min="6" style="1" width="13"/>
    <col collapsed="false" customWidth="true" hidden="false" outlineLevel="0" max="8" min="8" style="1" width="45"/>
    <col collapsed="false" customWidth="true" hidden="false" outlineLevel="0" max="10" min="9" style="1" width="30"/>
    <col collapsed="false" customWidth="true" hidden="false" outlineLevel="0" max="11" min="11" style="1" width="35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7.5" hidden="false" customHeight="true" outlineLevel="0" collapsed="false">
      <c r="A2" s="10"/>
      <c r="B2" s="17" t="s">
        <v>46</v>
      </c>
      <c r="C2" s="17"/>
      <c r="D2" s="17"/>
      <c r="E2" s="17"/>
      <c r="F2" s="17"/>
      <c r="G2" s="17"/>
      <c r="H2" s="17"/>
      <c r="I2" s="17"/>
      <c r="J2" s="17"/>
      <c r="K2" s="18"/>
      <c r="L2" s="18"/>
    </row>
    <row r="3" customFormat="false" ht="27.75" hidden="false" customHeight="true" outlineLevel="0" collapsed="false">
      <c r="A3" s="10"/>
      <c r="B3" s="19" t="s">
        <v>47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7.75" hidden="false" customHeight="true" outlineLevel="0" collapsed="false">
      <c r="A5" s="10"/>
      <c r="B5" s="20" t="s">
        <v>48</v>
      </c>
      <c r="C5" s="20" t="s">
        <v>49</v>
      </c>
      <c r="D5" s="20" t="s">
        <v>50</v>
      </c>
      <c r="E5" s="20" t="s">
        <v>51</v>
      </c>
      <c r="F5" s="20" t="s">
        <v>52</v>
      </c>
      <c r="G5" s="20" t="s">
        <v>53</v>
      </c>
      <c r="H5" s="20" t="s">
        <v>54</v>
      </c>
      <c r="I5" s="20" t="s">
        <v>55</v>
      </c>
      <c r="J5" s="20" t="s">
        <v>56</v>
      </c>
      <c r="K5" s="20" t="s">
        <v>57</v>
      </c>
      <c r="L5" s="10"/>
    </row>
    <row r="6" customFormat="false" ht="27.75" hidden="false" customHeight="true" outlineLevel="0" collapsed="false">
      <c r="A6" s="10"/>
      <c r="B6" s="21" t="s">
        <v>58</v>
      </c>
      <c r="C6" s="21" t="s">
        <v>59</v>
      </c>
      <c r="D6" s="21" t="s">
        <v>60</v>
      </c>
      <c r="E6" s="21" t="s">
        <v>61</v>
      </c>
      <c r="F6" s="21" t="s">
        <v>62</v>
      </c>
      <c r="G6" s="21" t="s">
        <v>63</v>
      </c>
      <c r="H6" s="21" t="s">
        <v>64</v>
      </c>
      <c r="I6" s="21" t="s">
        <v>65</v>
      </c>
      <c r="J6" s="21" t="s">
        <v>66</v>
      </c>
      <c r="K6" s="21" t="s">
        <v>67</v>
      </c>
      <c r="L6" s="10"/>
    </row>
    <row r="7" customFormat="false" ht="27.75" hidden="false" customHeight="true" outlineLevel="0" collapsed="false">
      <c r="A7" s="10"/>
      <c r="B7" s="21" t="s">
        <v>68</v>
      </c>
      <c r="C7" s="21" t="s">
        <v>69</v>
      </c>
      <c r="D7" s="21" t="s">
        <v>70</v>
      </c>
      <c r="E7" s="21" t="s">
        <v>71</v>
      </c>
      <c r="F7" s="21" t="s">
        <v>72</v>
      </c>
      <c r="G7" s="21" t="s">
        <v>63</v>
      </c>
      <c r="H7" s="21" t="s">
        <v>73</v>
      </c>
      <c r="I7" s="21" t="s">
        <v>74</v>
      </c>
      <c r="J7" s="21" t="s">
        <v>75</v>
      </c>
      <c r="K7" s="21" t="s">
        <v>76</v>
      </c>
      <c r="L7" s="10"/>
    </row>
    <row r="8" customFormat="false" ht="27.75" hidden="false" customHeight="true" outlineLevel="0" collapsed="false">
      <c r="A8" s="10"/>
      <c r="B8" s="21" t="s">
        <v>77</v>
      </c>
      <c r="C8" s="21" t="s">
        <v>78</v>
      </c>
      <c r="D8" s="21" t="s">
        <v>79</v>
      </c>
      <c r="E8" s="21" t="s">
        <v>80</v>
      </c>
      <c r="F8" s="21" t="s">
        <v>63</v>
      </c>
      <c r="G8" s="21" t="s">
        <v>63</v>
      </c>
      <c r="H8" s="21" t="s">
        <v>81</v>
      </c>
      <c r="I8" s="21" t="s">
        <v>82</v>
      </c>
      <c r="J8" s="21" t="s">
        <v>83</v>
      </c>
      <c r="K8" s="21" t="s">
        <v>84</v>
      </c>
      <c r="L8" s="10"/>
    </row>
    <row r="9" customFormat="false" ht="27.75" hidden="false" customHeight="true" outlineLevel="0" collapsed="false">
      <c r="A9" s="10"/>
      <c r="B9" s="21" t="s">
        <v>85</v>
      </c>
      <c r="C9" s="21" t="s">
        <v>86</v>
      </c>
      <c r="D9" s="21" t="s">
        <v>87</v>
      </c>
      <c r="E9" s="21" t="s">
        <v>88</v>
      </c>
      <c r="F9" s="21" t="s">
        <v>63</v>
      </c>
      <c r="G9" s="21" t="s">
        <v>63</v>
      </c>
      <c r="H9" s="21" t="s">
        <v>89</v>
      </c>
      <c r="I9" s="21" t="s">
        <v>90</v>
      </c>
      <c r="J9" s="21" t="s">
        <v>91</v>
      </c>
      <c r="K9" s="21" t="s">
        <v>92</v>
      </c>
      <c r="L9" s="10"/>
    </row>
    <row r="10" customFormat="false" ht="27.75" hidden="false" customHeight="true" outlineLevel="0" collapsed="false">
      <c r="A10" s="10"/>
      <c r="B10" s="21" t="s">
        <v>93</v>
      </c>
      <c r="C10" s="21" t="s">
        <v>94</v>
      </c>
      <c r="D10" s="21" t="s">
        <v>95</v>
      </c>
      <c r="E10" s="21" t="s">
        <v>96</v>
      </c>
      <c r="F10" s="21" t="s">
        <v>63</v>
      </c>
      <c r="G10" s="21" t="s">
        <v>63</v>
      </c>
      <c r="H10" s="21" t="s">
        <v>97</v>
      </c>
      <c r="I10" s="21" t="s">
        <v>98</v>
      </c>
      <c r="J10" s="21" t="s">
        <v>99</v>
      </c>
      <c r="K10" s="21" t="s">
        <v>100</v>
      </c>
      <c r="L10" s="10"/>
    </row>
    <row r="11" customFormat="false" ht="27.75" hidden="false" customHeight="true" outlineLevel="0" collapsed="false">
      <c r="A11" s="10"/>
      <c r="B11" s="21" t="s">
        <v>101</v>
      </c>
      <c r="C11" s="21" t="s">
        <v>102</v>
      </c>
      <c r="D11" s="21" t="s">
        <v>103</v>
      </c>
      <c r="E11" s="21" t="s">
        <v>104</v>
      </c>
      <c r="F11" s="21" t="s">
        <v>63</v>
      </c>
      <c r="G11" s="21" t="s">
        <v>63</v>
      </c>
      <c r="H11" s="21" t="s">
        <v>105</v>
      </c>
      <c r="I11" s="21" t="s">
        <v>106</v>
      </c>
      <c r="J11" s="21" t="s">
        <v>107</v>
      </c>
      <c r="K11" s="21" t="s">
        <v>108</v>
      </c>
      <c r="L11" s="10"/>
    </row>
    <row r="12" customFormat="false" ht="27.75" hidden="false" customHeight="true" outlineLevel="0" collapsed="false">
      <c r="A12" s="10"/>
      <c r="B12" s="21" t="s">
        <v>109</v>
      </c>
      <c r="C12" s="21" t="s">
        <v>110</v>
      </c>
      <c r="D12" s="21" t="s">
        <v>111</v>
      </c>
      <c r="E12" s="21" t="s">
        <v>112</v>
      </c>
      <c r="F12" s="21" t="s">
        <v>63</v>
      </c>
      <c r="G12" s="21" t="s">
        <v>63</v>
      </c>
      <c r="H12" s="21" t="s">
        <v>113</v>
      </c>
      <c r="I12" s="21" t="s">
        <v>114</v>
      </c>
      <c r="J12" s="21" t="s">
        <v>115</v>
      </c>
      <c r="K12" s="21" t="s">
        <v>116</v>
      </c>
      <c r="L12" s="10"/>
    </row>
    <row r="13" customFormat="false" ht="27.75" hidden="false" customHeight="true" outlineLevel="0" collapsed="false">
      <c r="A13" s="10"/>
      <c r="B13" s="22" t="s">
        <v>117</v>
      </c>
      <c r="C13" s="22" t="s">
        <v>118</v>
      </c>
      <c r="D13" s="22" t="s">
        <v>119</v>
      </c>
      <c r="E13" s="22" t="s">
        <v>120</v>
      </c>
      <c r="F13" s="22" t="s">
        <v>121</v>
      </c>
      <c r="G13" s="22" t="s">
        <v>63</v>
      </c>
      <c r="H13" s="22" t="s">
        <v>122</v>
      </c>
      <c r="I13" s="22" t="s">
        <v>123</v>
      </c>
      <c r="J13" s="22" t="s">
        <v>124</v>
      </c>
      <c r="K13" s="22" t="s">
        <v>125</v>
      </c>
      <c r="L13" s="10"/>
    </row>
    <row r="14" customFormat="false" ht="27.75" hidden="false" customHeight="true" outlineLevel="0" collapsed="false">
      <c r="A14" s="10"/>
      <c r="B14" s="23" t="s">
        <v>126</v>
      </c>
      <c r="C14" s="23" t="s">
        <v>127</v>
      </c>
      <c r="D14" s="23" t="s">
        <v>128</v>
      </c>
      <c r="E14" s="23" t="s">
        <v>129</v>
      </c>
      <c r="F14" s="23" t="s">
        <v>130</v>
      </c>
      <c r="G14" s="23" t="s">
        <v>131</v>
      </c>
      <c r="H14" s="23" t="s">
        <v>132</v>
      </c>
      <c r="I14" s="23" t="s">
        <v>133</v>
      </c>
      <c r="J14" s="23" t="s">
        <v>134</v>
      </c>
      <c r="K14" s="23" t="s">
        <v>135</v>
      </c>
      <c r="L14" s="10"/>
    </row>
    <row r="15" customFormat="false" ht="27.7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27.75" hidden="false" customHeight="true" outlineLevel="0" collapsed="false">
      <c r="A16" s="10"/>
      <c r="B16" s="24"/>
      <c r="C16" s="24"/>
      <c r="D16" s="24"/>
      <c r="E16" s="24"/>
      <c r="F16" s="24"/>
      <c r="G16" s="24"/>
      <c r="H16" s="24"/>
      <c r="I16" s="24"/>
      <c r="J16" s="24"/>
      <c r="K16" s="10"/>
      <c r="L16" s="10"/>
    </row>
    <row r="17" customFormat="false" ht="27.75" hidden="false" customHeight="true" outlineLevel="0" collapsed="false">
      <c r="A17" s="10"/>
      <c r="B17" s="25" t="s">
        <v>136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</sheetData>
  <autoFilter ref="B5:K14"/>
  <mergeCells count="3">
    <mergeCell ref="B2:J2"/>
    <mergeCell ref="B3:L3"/>
    <mergeCell ref="B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6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30"/>
    <col collapsed="false" customWidth="true" hidden="false" outlineLevel="0" max="13" min="13" style="0" width="12"/>
  </cols>
  <sheetData>
    <row r="2" customFormat="false" ht="20.85" hidden="false" customHeight="false" outlineLevel="0" collapsed="false">
      <c r="B2" s="26" t="s">
        <v>137</v>
      </c>
    </row>
    <row r="3" customFormat="false" ht="15" hidden="false" customHeight="false" outlineLevel="0" collapsed="false">
      <c r="B3" s="27" t="s">
        <v>138</v>
      </c>
    </row>
    <row r="5" customFormat="false" ht="15" hidden="false" customHeight="false" outlineLevel="0" collapsed="false">
      <c r="B5" s="28" t="s">
        <v>139</v>
      </c>
    </row>
    <row r="6" customFormat="false" ht="33.75" hidden="false" customHeight="true" outlineLevel="0" collapsed="false">
      <c r="B6" s="29" t="s">
        <v>140</v>
      </c>
      <c r="C6" s="29" t="s">
        <v>141</v>
      </c>
    </row>
    <row r="7" customFormat="false" ht="46.25" hidden="false" customHeight="false" outlineLevel="0" collapsed="false">
      <c r="B7" s="30" t="s">
        <v>142</v>
      </c>
      <c r="C7" s="31" t="n">
        <f aca="false">COUNTIF($F$17:$F$358,B7)</f>
        <v>72</v>
      </c>
    </row>
    <row r="8" customFormat="false" ht="35.05" hidden="false" customHeight="false" outlineLevel="0" collapsed="false">
      <c r="B8" s="32" t="s">
        <v>143</v>
      </c>
      <c r="C8" s="33" t="n">
        <f aca="false">COUNTIF($F$17:$F$358,B8)</f>
        <v>99</v>
      </c>
    </row>
    <row r="9" customFormat="false" ht="46.25" hidden="false" customHeight="false" outlineLevel="0" collapsed="false">
      <c r="B9" s="30" t="s">
        <v>144</v>
      </c>
      <c r="C9" s="31" t="n">
        <f aca="false">COUNTIF($F$17:$F$358,B9)</f>
        <v>68</v>
      </c>
    </row>
    <row r="10" customFormat="false" ht="46.25" hidden="false" customHeight="false" outlineLevel="0" collapsed="false">
      <c r="B10" s="32" t="s">
        <v>145</v>
      </c>
      <c r="C10" s="33" t="n">
        <f aca="false">COUNTIF($F$17:$F$358,B10)</f>
        <v>23</v>
      </c>
    </row>
    <row r="11" customFormat="false" ht="35.05" hidden="false" customHeight="false" outlineLevel="0" collapsed="false">
      <c r="B11" s="30" t="s">
        <v>146</v>
      </c>
      <c r="C11" s="31" t="n">
        <f aca="false">COUNTIF($F$17:$F$358,B11)</f>
        <v>29</v>
      </c>
    </row>
    <row r="12" customFormat="false" ht="68.65" hidden="false" customHeight="false" outlineLevel="0" collapsed="false">
      <c r="B12" s="32" t="s">
        <v>147</v>
      </c>
      <c r="C12" s="33" t="n">
        <f aca="false">COUNTIF($F$17:$F$358,B12)</f>
        <v>6</v>
      </c>
    </row>
    <row r="13" customFormat="false" ht="68.65" hidden="false" customHeight="false" outlineLevel="0" collapsed="false">
      <c r="B13" s="30" t="s">
        <v>148</v>
      </c>
      <c r="C13" s="31" t="n">
        <f aca="false">COUNTIF($F$17:$F$358,B13)</f>
        <v>45</v>
      </c>
    </row>
    <row r="14" customFormat="false" ht="23.85" hidden="false" customHeight="false" outlineLevel="0" collapsed="false">
      <c r="B14" s="34" t="s">
        <v>149</v>
      </c>
      <c r="C14" s="35" t="n">
        <f aca="false">COUNTA($B$17:$B$358)</f>
        <v>342</v>
      </c>
    </row>
    <row r="16" customFormat="false" ht="33.75" hidden="false" customHeight="true" outlineLevel="0" collapsed="false">
      <c r="B16" s="36" t="s">
        <v>150</v>
      </c>
      <c r="C16" s="29" t="s">
        <v>151</v>
      </c>
      <c r="D16" s="29" t="s">
        <v>152</v>
      </c>
      <c r="E16" s="29" t="s">
        <v>153</v>
      </c>
      <c r="F16" s="29" t="s">
        <v>140</v>
      </c>
      <c r="G16" s="29" t="s">
        <v>154</v>
      </c>
      <c r="H16" s="29" t="s">
        <v>155</v>
      </c>
      <c r="I16" s="29" t="s">
        <v>156</v>
      </c>
      <c r="J16" s="29" t="s">
        <v>157</v>
      </c>
      <c r="K16" s="29" t="s">
        <v>158</v>
      </c>
      <c r="L16" s="29" t="s">
        <v>159</v>
      </c>
      <c r="M16" s="29" t="s">
        <v>160</v>
      </c>
    </row>
    <row r="17" customFormat="false" ht="15" hidden="false" customHeight="false" outlineLevel="0" collapsed="false">
      <c r="B17" s="37" t="n">
        <v>1</v>
      </c>
      <c r="C17" s="30" t="s">
        <v>161</v>
      </c>
      <c r="D17" s="30" t="s">
        <v>162</v>
      </c>
      <c r="E17" s="30" t="s">
        <v>163</v>
      </c>
      <c r="F17" s="30" t="s">
        <v>143</v>
      </c>
      <c r="G17" s="30"/>
      <c r="H17" s="30"/>
      <c r="I17" s="37" t="n">
        <v>1</v>
      </c>
      <c r="J17" s="38" t="s">
        <v>164</v>
      </c>
      <c r="K17" s="38"/>
      <c r="L17" s="38" t="s">
        <v>165</v>
      </c>
      <c r="M17" s="38" t="str">
        <f aca="false">IF(OR(E17="אולם חתונות גדול",E17="מתחם רב-אולמי",I17&gt;=2,D17="מרכז",D17="שרון",D17="ירושלים והסביבה"),"גבוה","בינוני")</f>
        <v>בינוני</v>
      </c>
    </row>
    <row r="18" customFormat="false" ht="23.85" hidden="false" customHeight="false" outlineLevel="0" collapsed="false">
      <c r="B18" s="39" t="n">
        <v>2</v>
      </c>
      <c r="C18" s="32" t="s">
        <v>166</v>
      </c>
      <c r="D18" s="32" t="s">
        <v>167</v>
      </c>
      <c r="E18" s="32" t="s">
        <v>168</v>
      </c>
      <c r="F18" s="32" t="s">
        <v>148</v>
      </c>
      <c r="G18" s="32"/>
      <c r="H18" s="32"/>
      <c r="I18" s="39" t="n">
        <v>1</v>
      </c>
      <c r="J18" s="40" t="s">
        <v>169</v>
      </c>
      <c r="K18" s="40"/>
      <c r="L18" s="40" t="s">
        <v>165</v>
      </c>
      <c r="M18" s="40" t="str">
        <f aca="false">IF(OR(E18="אולם חתונות גדול",E18="מתחם רב-אולמי",I18&gt;=2,D18="מרכז",D18="שרון",D18="ירושלים והסביבה"),"גבוה","בינוני")</f>
        <v>בינוני</v>
      </c>
    </row>
    <row r="19" customFormat="false" ht="15" hidden="false" customHeight="false" outlineLevel="0" collapsed="false">
      <c r="B19" s="37" t="n">
        <v>3</v>
      </c>
      <c r="C19" s="30" t="s">
        <v>170</v>
      </c>
      <c r="D19" s="30" t="s">
        <v>171</v>
      </c>
      <c r="E19" s="30" t="s">
        <v>163</v>
      </c>
      <c r="F19" s="30" t="s">
        <v>143</v>
      </c>
      <c r="G19" s="38"/>
      <c r="H19" s="38"/>
      <c r="I19" s="37" t="n">
        <v>1</v>
      </c>
      <c r="J19" s="38" t="s">
        <v>172</v>
      </c>
      <c r="K19" s="38"/>
      <c r="L19" s="38" t="s">
        <v>165</v>
      </c>
      <c r="M19" s="38" t="str">
        <f aca="false">IF(OR(E19="אולם חתונות גדול",E19="מתחם רב-אולמי",I19&gt;=2,D19="מרכז",D19="שרון",D19="ירושלים והסביבה"),"גבוה","בינוני")</f>
        <v>בינוני</v>
      </c>
    </row>
    <row r="20" customFormat="false" ht="23.85" hidden="false" customHeight="false" outlineLevel="0" collapsed="false">
      <c r="B20" s="39" t="n">
        <v>4</v>
      </c>
      <c r="C20" s="32" t="s">
        <v>173</v>
      </c>
      <c r="D20" s="32" t="s">
        <v>174</v>
      </c>
      <c r="E20" s="32" t="s">
        <v>175</v>
      </c>
      <c r="F20" s="32" t="s">
        <v>148</v>
      </c>
      <c r="G20" s="40"/>
      <c r="H20" s="40"/>
      <c r="I20" s="39" t="n">
        <v>1</v>
      </c>
      <c r="J20" s="40" t="s">
        <v>176</v>
      </c>
      <c r="K20" s="40"/>
      <c r="L20" s="40" t="s">
        <v>165</v>
      </c>
      <c r="M20" s="40" t="str">
        <f aca="false">IF(OR(E20="אולם חתונות גדול",E20="מתחם רב-אולמי",I20&gt;=2,D20="מרכז",D20="שרון",D20="ירושלים והסביבה"),"גבוה","בינוני")</f>
        <v>בינוני</v>
      </c>
    </row>
    <row r="21" customFormat="false" ht="23.85" hidden="false" customHeight="false" outlineLevel="0" collapsed="false">
      <c r="B21" s="37" t="n">
        <v>5</v>
      </c>
      <c r="C21" s="30" t="s">
        <v>177</v>
      </c>
      <c r="D21" s="30" t="s">
        <v>178</v>
      </c>
      <c r="E21" s="30" t="s">
        <v>179</v>
      </c>
      <c r="F21" s="30" t="s">
        <v>148</v>
      </c>
      <c r="G21" s="38"/>
      <c r="H21" s="30" t="s">
        <v>180</v>
      </c>
      <c r="I21" s="37" t="n">
        <v>1</v>
      </c>
      <c r="J21" s="38" t="s">
        <v>181</v>
      </c>
      <c r="K21" s="38"/>
      <c r="L21" s="38" t="s">
        <v>165</v>
      </c>
      <c r="M21" s="38" t="str">
        <f aca="false">IF(OR(E21="אולם חתונות גדול",E21="מתחם רב-אולמי",I21&gt;=2,D21="מרכז",D21="שרון",D21="ירושלים והסביבה"),"גבוה","בינוני")</f>
        <v>בינוני</v>
      </c>
    </row>
    <row r="22" customFormat="false" ht="15" hidden="false" customHeight="false" outlineLevel="0" collapsed="false">
      <c r="B22" s="39" t="n">
        <v>6</v>
      </c>
      <c r="C22" s="32" t="s">
        <v>182</v>
      </c>
      <c r="D22" s="32" t="s">
        <v>183</v>
      </c>
      <c r="E22" s="32" t="s">
        <v>175</v>
      </c>
      <c r="F22" s="32" t="s">
        <v>143</v>
      </c>
      <c r="G22" s="40" t="s">
        <v>184</v>
      </c>
      <c r="H22" s="32" t="s">
        <v>180</v>
      </c>
      <c r="I22" s="39" t="n">
        <v>1</v>
      </c>
      <c r="J22" s="40" t="s">
        <v>185</v>
      </c>
      <c r="K22" s="40"/>
      <c r="L22" s="40" t="s">
        <v>165</v>
      </c>
      <c r="M22" s="40" t="str">
        <f aca="false">IF(OR(E22="אולם חתונות גדול",E22="מתחם רב-אולמי",I22&gt;=2,D22="מרכז",D22="שרון",D22="ירושלים והסביבה"),"גבוה","בינוני")</f>
        <v>בינוני</v>
      </c>
    </row>
    <row r="23" customFormat="false" ht="15" hidden="false" customHeight="false" outlineLevel="0" collapsed="false">
      <c r="B23" s="37" t="n">
        <v>7</v>
      </c>
      <c r="C23" s="30" t="s">
        <v>186</v>
      </c>
      <c r="D23" s="30" t="s">
        <v>187</v>
      </c>
      <c r="E23" s="30" t="s">
        <v>188</v>
      </c>
      <c r="F23" s="30" t="s">
        <v>143</v>
      </c>
      <c r="G23" s="38" t="s">
        <v>189</v>
      </c>
      <c r="H23" s="30" t="s">
        <v>180</v>
      </c>
      <c r="I23" s="37" t="n">
        <v>1</v>
      </c>
      <c r="J23" s="38" t="s">
        <v>190</v>
      </c>
      <c r="K23" s="38"/>
      <c r="L23" s="38" t="s">
        <v>165</v>
      </c>
      <c r="M23" s="38" t="str">
        <f aca="false">IF(OR(E23="אולם חתונות גדול",E23="מתחם רב-אולמי",I23&gt;=2,D23="מרכז",D23="שרון",D23="ירושלים והסביבה"),"גבוה","בינוני")</f>
        <v>בינוני</v>
      </c>
    </row>
    <row r="24" customFormat="false" ht="15" hidden="false" customHeight="false" outlineLevel="0" collapsed="false">
      <c r="B24" s="39" t="n">
        <v>8</v>
      </c>
      <c r="C24" s="32" t="s">
        <v>191</v>
      </c>
      <c r="D24" s="32" t="s">
        <v>192</v>
      </c>
      <c r="E24" s="32" t="s">
        <v>179</v>
      </c>
      <c r="F24" s="32" t="s">
        <v>143</v>
      </c>
      <c r="G24" s="40"/>
      <c r="H24" s="40"/>
      <c r="I24" s="39" t="n">
        <v>1</v>
      </c>
      <c r="J24" s="40" t="s">
        <v>193</v>
      </c>
      <c r="K24" s="40"/>
      <c r="L24" s="40" t="s">
        <v>194</v>
      </c>
      <c r="M24" s="40" t="str">
        <f aca="false">IF(OR(E24="אולם חתונות גדול",E24="מתחם רב-אולמי",I24&gt;=2,D24="מרכז",D24="שרון",D24="ירושלים והסביבה"),"גבוה","בינוני")</f>
        <v>בינוני</v>
      </c>
    </row>
    <row r="25" customFormat="false" ht="15" hidden="false" customHeight="false" outlineLevel="0" collapsed="false">
      <c r="B25" s="37" t="n">
        <v>9</v>
      </c>
      <c r="C25" s="30" t="s">
        <v>195</v>
      </c>
      <c r="D25" s="30" t="s">
        <v>196</v>
      </c>
      <c r="E25" s="30" t="s">
        <v>179</v>
      </c>
      <c r="F25" s="30" t="s">
        <v>143</v>
      </c>
      <c r="G25" s="38"/>
      <c r="H25" s="38"/>
      <c r="I25" s="37" t="n">
        <v>1</v>
      </c>
      <c r="J25" s="38" t="s">
        <v>197</v>
      </c>
      <c r="K25" s="38"/>
      <c r="L25" s="38" t="s">
        <v>165</v>
      </c>
      <c r="M25" s="38" t="str">
        <f aca="false">IF(OR(E25="אולם חתונות גדול",E25="מתחם רב-אולמי",I25&gt;=2,D25="מרכז",D25="שרון",D25="ירושלים והסביבה"),"גבוה","בינוני")</f>
        <v>בינוני</v>
      </c>
    </row>
    <row r="26" customFormat="false" ht="15" hidden="false" customHeight="false" outlineLevel="0" collapsed="false">
      <c r="B26" s="39" t="n">
        <v>10</v>
      </c>
      <c r="C26" s="40" t="s">
        <v>198</v>
      </c>
      <c r="D26" s="32" t="s">
        <v>196</v>
      </c>
      <c r="E26" s="32" t="s">
        <v>179</v>
      </c>
      <c r="F26" s="32" t="s">
        <v>143</v>
      </c>
      <c r="G26" s="40"/>
      <c r="H26" s="40"/>
      <c r="I26" s="39" t="n">
        <v>1</v>
      </c>
      <c r="J26" s="40" t="s">
        <v>199</v>
      </c>
      <c r="K26" s="40"/>
      <c r="L26" s="40" t="s">
        <v>165</v>
      </c>
      <c r="M26" s="40" t="str">
        <f aca="false">IF(OR(E26="אולם חתונות גדול",E26="מתחם רב-אולמי",I26&gt;=2,D26="מרכז",D26="שרון",D26="ירושלים והסביבה"),"גבוה","בינוני")</f>
        <v>בינוני</v>
      </c>
    </row>
    <row r="27" customFormat="false" ht="15" hidden="false" customHeight="false" outlineLevel="0" collapsed="false">
      <c r="B27" s="37" t="n">
        <v>11</v>
      </c>
      <c r="C27" s="30" t="s">
        <v>200</v>
      </c>
      <c r="D27" s="30" t="s">
        <v>201</v>
      </c>
      <c r="E27" s="30" t="s">
        <v>163</v>
      </c>
      <c r="F27" s="30" t="s">
        <v>145</v>
      </c>
      <c r="G27" s="38"/>
      <c r="H27" s="30" t="s">
        <v>180</v>
      </c>
      <c r="I27" s="37" t="n">
        <v>2</v>
      </c>
      <c r="J27" s="38" t="s">
        <v>202</v>
      </c>
      <c r="K27" s="38"/>
      <c r="L27" s="38" t="s">
        <v>165</v>
      </c>
      <c r="M27" s="38" t="str">
        <f aca="false">IF(OR(E27="אולם חתונות גדול",E27="מתחם רב-אולמי",I27&gt;=2,D27="מרכז",D27="שרון",D27="ירושלים והסביבה"),"גבוה","בינוני")</f>
        <v>גבוה</v>
      </c>
    </row>
    <row r="28" customFormat="false" ht="15" hidden="false" customHeight="false" outlineLevel="0" collapsed="false">
      <c r="B28" s="39" t="n">
        <v>12</v>
      </c>
      <c r="C28" s="40" t="s">
        <v>203</v>
      </c>
      <c r="D28" s="32" t="s">
        <v>204</v>
      </c>
      <c r="E28" s="32" t="s">
        <v>168</v>
      </c>
      <c r="F28" s="32" t="s">
        <v>143</v>
      </c>
      <c r="G28" s="40"/>
      <c r="H28" s="40"/>
      <c r="I28" s="39" t="n">
        <v>1</v>
      </c>
      <c r="J28" s="40" t="s">
        <v>205</v>
      </c>
      <c r="K28" s="40"/>
      <c r="L28" s="40" t="s">
        <v>165</v>
      </c>
      <c r="M28" s="40" t="str">
        <f aca="false">IF(OR(E28="אולם חתונות גדול",E28="מתחם רב-אולמי",I28&gt;=2,D28="מרכז",D28="שרון",D28="ירושלים והסביבה"),"גבוה","בינוני")</f>
        <v>בינוני</v>
      </c>
    </row>
    <row r="29" customFormat="false" ht="15" hidden="false" customHeight="false" outlineLevel="0" collapsed="false">
      <c r="B29" s="37" t="n">
        <v>13</v>
      </c>
      <c r="C29" s="30" t="s">
        <v>206</v>
      </c>
      <c r="D29" s="30" t="s">
        <v>207</v>
      </c>
      <c r="E29" s="30" t="s">
        <v>179</v>
      </c>
      <c r="F29" s="30" t="s">
        <v>143</v>
      </c>
      <c r="G29" s="38"/>
      <c r="H29" s="38"/>
      <c r="I29" s="37" t="n">
        <v>1</v>
      </c>
      <c r="J29" s="38" t="s">
        <v>208</v>
      </c>
      <c r="K29" s="38"/>
      <c r="L29" s="38" t="s">
        <v>165</v>
      </c>
      <c r="M29" s="38" t="str">
        <f aca="false">IF(OR(E29="אולם חתונות גדול",E29="מתחם רב-אולמי",I29&gt;=2,D29="מרכז",D29="שרון",D29="ירושלים והסביבה"),"גבוה","בינוני")</f>
        <v>בינוני</v>
      </c>
    </row>
    <row r="30" customFormat="false" ht="23.85" hidden="false" customHeight="false" outlineLevel="0" collapsed="false">
      <c r="B30" s="39" t="n">
        <v>14</v>
      </c>
      <c r="C30" s="32" t="s">
        <v>209</v>
      </c>
      <c r="D30" s="32" t="s">
        <v>178</v>
      </c>
      <c r="E30" s="32" t="s">
        <v>179</v>
      </c>
      <c r="F30" s="32" t="s">
        <v>148</v>
      </c>
      <c r="G30" s="40"/>
      <c r="H30" s="40"/>
      <c r="I30" s="39" t="n">
        <v>1</v>
      </c>
      <c r="J30" s="40" t="s">
        <v>210</v>
      </c>
      <c r="K30" s="40"/>
      <c r="L30" s="40" t="s">
        <v>165</v>
      </c>
      <c r="M30" s="40" t="str">
        <f aca="false">IF(OR(E30="אולם חתונות גדול",E30="מתחם רב-אולמי",I30&gt;=2,D30="מרכז",D30="שרון",D30="ירושלים והסביבה"),"גבוה","בינוני")</f>
        <v>בינוני</v>
      </c>
    </row>
    <row r="31" customFormat="false" ht="15" hidden="false" customHeight="false" outlineLevel="0" collapsed="false">
      <c r="B31" s="37" t="n">
        <v>15</v>
      </c>
      <c r="C31" s="30" t="s">
        <v>211</v>
      </c>
      <c r="D31" s="30" t="s">
        <v>212</v>
      </c>
      <c r="E31" s="30" t="s">
        <v>168</v>
      </c>
      <c r="F31" s="30" t="s">
        <v>145</v>
      </c>
      <c r="G31" s="38"/>
      <c r="H31" s="38"/>
      <c r="I31" s="37" t="n">
        <v>1</v>
      </c>
      <c r="J31" s="38" t="s">
        <v>213</v>
      </c>
      <c r="K31" s="38"/>
      <c r="L31" s="38" t="s">
        <v>165</v>
      </c>
      <c r="M31" s="38" t="str">
        <f aca="false">IF(OR(E31="אולם חתונות גדול",E31="מתחם רב-אולמי",I31&gt;=2,D31="מרכז",D31="שרון",D31="ירושלים והסביבה"),"גבוה","בינוני")</f>
        <v>בינוני</v>
      </c>
    </row>
    <row r="32" customFormat="false" ht="23.85" hidden="false" customHeight="false" outlineLevel="0" collapsed="false">
      <c r="B32" s="39" t="n">
        <v>16</v>
      </c>
      <c r="C32" s="32" t="s">
        <v>214</v>
      </c>
      <c r="D32" s="32" t="s">
        <v>215</v>
      </c>
      <c r="E32" s="32" t="s">
        <v>179</v>
      </c>
      <c r="F32" s="32" t="s">
        <v>148</v>
      </c>
      <c r="G32" s="40"/>
      <c r="H32" s="40"/>
      <c r="I32" s="39" t="n">
        <v>1</v>
      </c>
      <c r="J32" s="40" t="s">
        <v>216</v>
      </c>
      <c r="K32" s="40"/>
      <c r="L32" s="40" t="s">
        <v>165</v>
      </c>
      <c r="M32" s="40" t="str">
        <f aca="false">IF(OR(E32="אולם חתונות גדול",E32="מתחם רב-אולמי",I32&gt;=2,D32="מרכז",D32="שרון",D32="ירושלים והסביבה"),"גבוה","בינוני")</f>
        <v>בינוני</v>
      </c>
    </row>
    <row r="33" customFormat="false" ht="23.85" hidden="false" customHeight="false" outlineLevel="0" collapsed="false">
      <c r="B33" s="37" t="n">
        <v>17</v>
      </c>
      <c r="C33" s="30" t="s">
        <v>217</v>
      </c>
      <c r="D33" s="30" t="s">
        <v>218</v>
      </c>
      <c r="E33" s="30" t="s">
        <v>168</v>
      </c>
      <c r="F33" s="30" t="s">
        <v>148</v>
      </c>
      <c r="G33" s="38"/>
      <c r="H33" s="38"/>
      <c r="I33" s="37" t="n">
        <v>1</v>
      </c>
      <c r="J33" s="38" t="s">
        <v>219</v>
      </c>
      <c r="K33" s="38"/>
      <c r="L33" s="38" t="s">
        <v>165</v>
      </c>
      <c r="M33" s="38" t="str">
        <f aca="false">IF(OR(E33="אולם חתונות גדול",E33="מתחם רב-אולמי",I33&gt;=2,D33="מרכז",D33="שרון",D33="ירושלים והסביבה"),"גבוה","בינוני")</f>
        <v>בינוני</v>
      </c>
    </row>
    <row r="34" customFormat="false" ht="15" hidden="false" customHeight="false" outlineLevel="0" collapsed="false">
      <c r="B34" s="39" t="n">
        <v>18</v>
      </c>
      <c r="C34" s="32" t="s">
        <v>220</v>
      </c>
      <c r="D34" s="32" t="s">
        <v>221</v>
      </c>
      <c r="E34" s="32" t="s">
        <v>179</v>
      </c>
      <c r="F34" s="32" t="s">
        <v>143</v>
      </c>
      <c r="G34" s="40"/>
      <c r="H34" s="40"/>
      <c r="I34" s="39" t="n">
        <v>1</v>
      </c>
      <c r="J34" s="40" t="s">
        <v>222</v>
      </c>
      <c r="K34" s="40"/>
      <c r="L34" s="40" t="s">
        <v>165</v>
      </c>
      <c r="M34" s="40" t="str">
        <f aca="false">IF(OR(E34="אולם חתונות גדול",E34="מתחם רב-אולמי",I34&gt;=2,D34="מרכז",D34="שרון",D34="ירושלים והסביבה"),"גבוה","בינוני")</f>
        <v>בינוני</v>
      </c>
    </row>
    <row r="35" customFormat="false" ht="15" hidden="false" customHeight="false" outlineLevel="0" collapsed="false">
      <c r="B35" s="37" t="n">
        <v>19</v>
      </c>
      <c r="C35" s="30" t="s">
        <v>223</v>
      </c>
      <c r="D35" s="30" t="s">
        <v>224</v>
      </c>
      <c r="E35" s="30" t="s">
        <v>168</v>
      </c>
      <c r="F35" s="30" t="s">
        <v>143</v>
      </c>
      <c r="G35" s="38"/>
      <c r="H35" s="38"/>
      <c r="I35" s="37" t="n">
        <v>1</v>
      </c>
      <c r="J35" s="38" t="s">
        <v>225</v>
      </c>
      <c r="K35" s="38"/>
      <c r="L35" s="38" t="s">
        <v>165</v>
      </c>
      <c r="M35" s="38" t="str">
        <f aca="false">IF(OR(E35="אולם חתונות גדול",E35="מתחם רב-אולמי",I35&gt;=2,D35="מרכז",D35="שרון",D35="ירושלים והסביבה"),"גבוה","בינוני")</f>
        <v>בינוני</v>
      </c>
    </row>
    <row r="36" customFormat="false" ht="23.85" hidden="false" customHeight="false" outlineLevel="0" collapsed="false">
      <c r="B36" s="39" t="n">
        <v>20</v>
      </c>
      <c r="C36" s="40" t="s">
        <v>226</v>
      </c>
      <c r="D36" s="32" t="s">
        <v>227</v>
      </c>
      <c r="E36" s="32" t="s">
        <v>179</v>
      </c>
      <c r="F36" s="32" t="s">
        <v>144</v>
      </c>
      <c r="G36" s="40"/>
      <c r="H36" s="40"/>
      <c r="I36" s="39" t="n">
        <v>1</v>
      </c>
      <c r="J36" s="40" t="s">
        <v>228</v>
      </c>
      <c r="K36" s="40"/>
      <c r="L36" s="40" t="s">
        <v>165</v>
      </c>
      <c r="M36" s="40" t="str">
        <f aca="false">IF(OR(E36="אולם חתונות גדול",E36="מתחם רב-אולמי",I36&gt;=2,D36="מרכז",D36="שרון",D36="ירושלים והסביבה"),"גבוה","בינוני")</f>
        <v>בינוני</v>
      </c>
    </row>
    <row r="37" customFormat="false" ht="15" hidden="false" customHeight="false" outlineLevel="0" collapsed="false">
      <c r="B37" s="37" t="n">
        <v>21</v>
      </c>
      <c r="C37" s="30" t="s">
        <v>229</v>
      </c>
      <c r="D37" s="30" t="s">
        <v>230</v>
      </c>
      <c r="E37" s="30" t="s">
        <v>179</v>
      </c>
      <c r="F37" s="30" t="s">
        <v>146</v>
      </c>
      <c r="G37" s="38" t="s">
        <v>231</v>
      </c>
      <c r="H37" s="30" t="s">
        <v>180</v>
      </c>
      <c r="I37" s="37" t="n">
        <v>1</v>
      </c>
      <c r="J37" s="38" t="s">
        <v>232</v>
      </c>
      <c r="K37" s="38"/>
      <c r="L37" s="38" t="s">
        <v>165</v>
      </c>
      <c r="M37" s="38" t="str">
        <f aca="false">IF(OR(E37="אולם חתונות גדול",E37="מתחם רב-אולמי",I37&gt;=2,D37="מרכז",D37="שרון",D37="ירושלים והסביבה"),"גבוה","בינוני")</f>
        <v>בינוני</v>
      </c>
    </row>
    <row r="38" customFormat="false" ht="15" hidden="false" customHeight="false" outlineLevel="0" collapsed="false">
      <c r="B38" s="39" t="n">
        <v>22</v>
      </c>
      <c r="C38" s="40" t="s">
        <v>233</v>
      </c>
      <c r="D38" s="32" t="s">
        <v>215</v>
      </c>
      <c r="E38" s="32" t="s">
        <v>179</v>
      </c>
      <c r="F38" s="32" t="s">
        <v>143</v>
      </c>
      <c r="G38" s="40"/>
      <c r="H38" s="40"/>
      <c r="I38" s="39" t="n">
        <v>1</v>
      </c>
      <c r="J38" s="40" t="s">
        <v>234</v>
      </c>
      <c r="K38" s="40"/>
      <c r="L38" s="40" t="s">
        <v>165</v>
      </c>
      <c r="M38" s="40" t="str">
        <f aca="false">IF(OR(E38="אולם חתונות גדול",E38="מתחם רב-אולמי",I38&gt;=2,D38="מרכז",D38="שרון",D38="ירושלים והסביבה"),"גבוה","בינוני")</f>
        <v>בינוני</v>
      </c>
    </row>
    <row r="39" customFormat="false" ht="15" hidden="false" customHeight="false" outlineLevel="0" collapsed="false">
      <c r="B39" s="37" t="n">
        <v>23</v>
      </c>
      <c r="C39" s="30" t="s">
        <v>235</v>
      </c>
      <c r="D39" s="30" t="s">
        <v>215</v>
      </c>
      <c r="E39" s="30" t="s">
        <v>179</v>
      </c>
      <c r="F39" s="30" t="s">
        <v>143</v>
      </c>
      <c r="G39" s="38" t="s">
        <v>236</v>
      </c>
      <c r="H39" s="30" t="s">
        <v>180</v>
      </c>
      <c r="I39" s="37" t="n">
        <v>1</v>
      </c>
      <c r="J39" s="38" t="s">
        <v>237</v>
      </c>
      <c r="K39" s="38"/>
      <c r="L39" s="38" t="s">
        <v>165</v>
      </c>
      <c r="M39" s="38" t="str">
        <f aca="false">IF(OR(E39="אולם חתונות גדול",E39="מתחם רב-אולמי",I39&gt;=2,D39="מרכז",D39="שרון",D39="ירושלים והסביבה"),"גבוה","בינוני")</f>
        <v>בינוני</v>
      </c>
    </row>
    <row r="40" customFormat="false" ht="15" hidden="false" customHeight="false" outlineLevel="0" collapsed="false">
      <c r="B40" s="39" t="n">
        <v>24</v>
      </c>
      <c r="C40" s="32" t="s">
        <v>238</v>
      </c>
      <c r="D40" s="32" t="s">
        <v>239</v>
      </c>
      <c r="E40" s="32" t="s">
        <v>179</v>
      </c>
      <c r="F40" s="32" t="s">
        <v>143</v>
      </c>
      <c r="G40" s="40"/>
      <c r="H40" s="40"/>
      <c r="I40" s="39" t="n">
        <v>1</v>
      </c>
      <c r="J40" s="40" t="s">
        <v>240</v>
      </c>
      <c r="K40" s="40"/>
      <c r="L40" s="40" t="s">
        <v>165</v>
      </c>
      <c r="M40" s="40" t="str">
        <f aca="false">IF(OR(E40="אולם חתונות גדול",E40="מתחם רב-אולמי",I40&gt;=2,D40="מרכז",D40="שרון",D40="ירושלים והסביבה"),"גבוה","בינוני")</f>
        <v>בינוני</v>
      </c>
    </row>
    <row r="41" customFormat="false" ht="15" hidden="false" customHeight="false" outlineLevel="0" collapsed="false">
      <c r="B41" s="37" t="n">
        <v>25</v>
      </c>
      <c r="C41" s="30" t="s">
        <v>241</v>
      </c>
      <c r="D41" s="30" t="s">
        <v>242</v>
      </c>
      <c r="E41" s="30" t="s">
        <v>179</v>
      </c>
      <c r="F41" s="30" t="s">
        <v>143</v>
      </c>
      <c r="G41" s="38"/>
      <c r="H41" s="38"/>
      <c r="I41" s="37" t="n">
        <v>1</v>
      </c>
      <c r="J41" s="38" t="s">
        <v>243</v>
      </c>
      <c r="K41" s="38"/>
      <c r="L41" s="38" t="s">
        <v>165</v>
      </c>
      <c r="M41" s="38" t="str">
        <f aca="false">IF(OR(E41="אולם חתונות גדול",E41="מתחם רב-אולמי",I41&gt;=2,D41="מרכז",D41="שרון",D41="ירושלים והסביבה"),"גבוה","בינוני")</f>
        <v>בינוני</v>
      </c>
    </row>
    <row r="42" customFormat="false" ht="23.85" hidden="false" customHeight="false" outlineLevel="0" collapsed="false">
      <c r="B42" s="39" t="n">
        <v>26</v>
      </c>
      <c r="C42" s="32" t="s">
        <v>244</v>
      </c>
      <c r="D42" s="32" t="s">
        <v>245</v>
      </c>
      <c r="E42" s="32" t="s">
        <v>179</v>
      </c>
      <c r="F42" s="32" t="s">
        <v>148</v>
      </c>
      <c r="G42" s="40" t="s">
        <v>246</v>
      </c>
      <c r="H42" s="32" t="s">
        <v>180</v>
      </c>
      <c r="I42" s="39" t="n">
        <v>1</v>
      </c>
      <c r="J42" s="40" t="s">
        <v>247</v>
      </c>
      <c r="K42" s="40"/>
      <c r="L42" s="40" t="s">
        <v>165</v>
      </c>
      <c r="M42" s="40" t="str">
        <f aca="false">IF(OR(E42="אולם חתונות גדול",E42="מתחם רב-אולמי",I42&gt;=2,D42="מרכז",D42="שרון",D42="ירושלים והסביבה"),"גבוה","בינוני")</f>
        <v>בינוני</v>
      </c>
    </row>
    <row r="43" customFormat="false" ht="23.85" hidden="false" customHeight="false" outlineLevel="0" collapsed="false">
      <c r="B43" s="37" t="n">
        <v>27</v>
      </c>
      <c r="C43" s="30" t="s">
        <v>248</v>
      </c>
      <c r="D43" s="30" t="s">
        <v>249</v>
      </c>
      <c r="E43" s="30" t="s">
        <v>179</v>
      </c>
      <c r="F43" s="30" t="s">
        <v>148</v>
      </c>
      <c r="G43" s="38"/>
      <c r="H43" s="38"/>
      <c r="I43" s="37" t="n">
        <v>1</v>
      </c>
      <c r="J43" s="38" t="s">
        <v>250</v>
      </c>
      <c r="K43" s="38"/>
      <c r="L43" s="38" t="s">
        <v>165</v>
      </c>
      <c r="M43" s="38" t="str">
        <f aca="false">IF(OR(E43="אולם חתונות גדול",E43="מתחם רב-אולמי",I43&gt;=2,D43="מרכז",D43="שרון",D43="ירושלים והסביבה"),"גבוה","בינוני")</f>
        <v>בינוני</v>
      </c>
    </row>
    <row r="44" customFormat="false" ht="15" hidden="false" customHeight="false" outlineLevel="0" collapsed="false">
      <c r="B44" s="39" t="n">
        <v>28</v>
      </c>
      <c r="C44" s="32" t="s">
        <v>251</v>
      </c>
      <c r="D44" s="32" t="s">
        <v>252</v>
      </c>
      <c r="E44" s="32" t="s">
        <v>179</v>
      </c>
      <c r="F44" s="32" t="s">
        <v>143</v>
      </c>
      <c r="G44" s="40"/>
      <c r="H44" s="40"/>
      <c r="I44" s="39" t="n">
        <v>1</v>
      </c>
      <c r="J44" s="40"/>
      <c r="K44" s="40"/>
      <c r="L44" s="40" t="s">
        <v>165</v>
      </c>
      <c r="M44" s="40" t="str">
        <f aca="false">IF(OR(E44="אולם חתונות גדול",E44="מתחם רב-אולמי",I44&gt;=2,D44="מרכז",D44="שרון",D44="ירושלים והסביבה"),"גבוה","בינוני")</f>
        <v>בינוני</v>
      </c>
    </row>
    <row r="45" customFormat="false" ht="15" hidden="false" customHeight="false" outlineLevel="0" collapsed="false">
      <c r="B45" s="37" t="n">
        <v>29</v>
      </c>
      <c r="C45" s="30" t="s">
        <v>253</v>
      </c>
      <c r="D45" s="30" t="s">
        <v>221</v>
      </c>
      <c r="E45" s="30" t="s">
        <v>179</v>
      </c>
      <c r="F45" s="30" t="s">
        <v>143</v>
      </c>
      <c r="G45" s="38"/>
      <c r="H45" s="38"/>
      <c r="I45" s="37" t="n">
        <v>1</v>
      </c>
      <c r="J45" s="38" t="s">
        <v>254</v>
      </c>
      <c r="K45" s="38"/>
      <c r="L45" s="38" t="s">
        <v>165</v>
      </c>
      <c r="M45" s="38" t="str">
        <f aca="false">IF(OR(E45="אולם חתונות גדול",E45="מתחם רב-אולמי",I45&gt;=2,D45="מרכז",D45="שרון",D45="ירושלים והסביבה"),"גבוה","בינוני")</f>
        <v>בינוני</v>
      </c>
    </row>
    <row r="46" customFormat="false" ht="15" hidden="false" customHeight="false" outlineLevel="0" collapsed="false">
      <c r="B46" s="39" t="n">
        <v>30</v>
      </c>
      <c r="C46" s="32" t="s">
        <v>255</v>
      </c>
      <c r="D46" s="32" t="s">
        <v>230</v>
      </c>
      <c r="E46" s="32" t="s">
        <v>179</v>
      </c>
      <c r="F46" s="32" t="s">
        <v>146</v>
      </c>
      <c r="G46" s="40" t="s">
        <v>231</v>
      </c>
      <c r="H46" s="32" t="s">
        <v>180</v>
      </c>
      <c r="I46" s="39" t="n">
        <v>1</v>
      </c>
      <c r="J46" s="40" t="s">
        <v>256</v>
      </c>
      <c r="K46" s="40"/>
      <c r="L46" s="40" t="s">
        <v>165</v>
      </c>
      <c r="M46" s="40" t="str">
        <f aca="false">IF(OR(E46="אולם חתונות גדול",E46="מתחם רב-אולמי",I46&gt;=2,D46="מרכז",D46="שרון",D46="ירושלים והסביבה"),"גבוה","בינוני")</f>
        <v>בינוני</v>
      </c>
    </row>
    <row r="47" customFormat="false" ht="15" hidden="false" customHeight="false" outlineLevel="0" collapsed="false">
      <c r="B47" s="37" t="n">
        <v>31</v>
      </c>
      <c r="C47" s="30" t="s">
        <v>257</v>
      </c>
      <c r="D47" s="30" t="s">
        <v>204</v>
      </c>
      <c r="E47" s="30" t="s">
        <v>168</v>
      </c>
      <c r="F47" s="30" t="s">
        <v>143</v>
      </c>
      <c r="G47" s="38" t="s">
        <v>184</v>
      </c>
      <c r="H47" s="30" t="s">
        <v>180</v>
      </c>
      <c r="I47" s="37" t="n">
        <v>1</v>
      </c>
      <c r="J47" s="38" t="s">
        <v>258</v>
      </c>
      <c r="K47" s="38"/>
      <c r="L47" s="38" t="s">
        <v>259</v>
      </c>
      <c r="M47" s="38" t="str">
        <f aca="false">IF(OR(E47="אולם חתונות גדול",E47="מתחם רב-אולמי",I47&gt;=2,D47="מרכז",D47="שרון",D47="ירושלים והסביבה"),"גבוה","בינוני")</f>
        <v>בינוני</v>
      </c>
    </row>
    <row r="48" customFormat="false" ht="15" hidden="false" customHeight="false" outlineLevel="0" collapsed="false">
      <c r="B48" s="39" t="n">
        <v>32</v>
      </c>
      <c r="C48" s="32" t="s">
        <v>260</v>
      </c>
      <c r="D48" s="32" t="s">
        <v>204</v>
      </c>
      <c r="E48" s="32" t="s">
        <v>168</v>
      </c>
      <c r="F48" s="32" t="s">
        <v>143</v>
      </c>
      <c r="G48" s="40" t="s">
        <v>261</v>
      </c>
      <c r="H48" s="32" t="s">
        <v>180</v>
      </c>
      <c r="I48" s="39" t="n">
        <v>1</v>
      </c>
      <c r="J48" s="40" t="s">
        <v>262</v>
      </c>
      <c r="K48" s="40"/>
      <c r="L48" s="40" t="s">
        <v>259</v>
      </c>
      <c r="M48" s="40" t="str">
        <f aca="false">IF(OR(E48="אולם חתונות גדול",E48="מתחם רב-אולמי",I48&gt;=2,D48="מרכז",D48="שרון",D48="ירושלים והסביבה"),"גבוה","בינוני")</f>
        <v>בינוני</v>
      </c>
    </row>
    <row r="49" customFormat="false" ht="15" hidden="false" customHeight="false" outlineLevel="0" collapsed="false">
      <c r="B49" s="37" t="n">
        <v>33</v>
      </c>
      <c r="C49" s="30" t="s">
        <v>263</v>
      </c>
      <c r="D49" s="30" t="s">
        <v>264</v>
      </c>
      <c r="E49" s="30" t="s">
        <v>168</v>
      </c>
      <c r="F49" s="30" t="s">
        <v>144</v>
      </c>
      <c r="G49" s="38"/>
      <c r="H49" s="38"/>
      <c r="I49" s="37" t="n">
        <v>1</v>
      </c>
      <c r="J49" s="38" t="s">
        <v>265</v>
      </c>
      <c r="K49" s="38"/>
      <c r="L49" s="38" t="s">
        <v>259</v>
      </c>
      <c r="M49" s="38" t="str">
        <f aca="false">IF(OR(E49="אולם חתונות גדול",E49="מתחם רב-אולמי",I49&gt;=2,D49="מרכז",D49="שרון",D49="ירושלים והסביבה"),"גבוה","בינוני")</f>
        <v>בינוני</v>
      </c>
    </row>
    <row r="50" customFormat="false" ht="15" hidden="false" customHeight="false" outlineLevel="0" collapsed="false">
      <c r="B50" s="39" t="n">
        <v>34</v>
      </c>
      <c r="C50" s="32" t="s">
        <v>266</v>
      </c>
      <c r="D50" s="32" t="s">
        <v>264</v>
      </c>
      <c r="E50" s="32" t="s">
        <v>168</v>
      </c>
      <c r="F50" s="32" t="s">
        <v>145</v>
      </c>
      <c r="G50" s="40"/>
      <c r="H50" s="40"/>
      <c r="I50" s="39" t="n">
        <v>1</v>
      </c>
      <c r="J50" s="40" t="s">
        <v>267</v>
      </c>
      <c r="K50" s="40"/>
      <c r="L50" s="40" t="s">
        <v>259</v>
      </c>
      <c r="M50" s="40" t="str">
        <f aca="false">IF(OR(E50="אולם חתונות גדול",E50="מתחם רב-אולמי",I50&gt;=2,D50="מרכז",D50="שרון",D50="ירושלים והסביבה"),"גבוה","בינוני")</f>
        <v>בינוני</v>
      </c>
    </row>
    <row r="51" customFormat="false" ht="15" hidden="false" customHeight="false" outlineLevel="0" collapsed="false">
      <c r="B51" s="37" t="n">
        <v>35</v>
      </c>
      <c r="C51" s="30" t="s">
        <v>268</v>
      </c>
      <c r="D51" s="30" t="s">
        <v>264</v>
      </c>
      <c r="E51" s="30" t="s">
        <v>168</v>
      </c>
      <c r="F51" s="30" t="s">
        <v>144</v>
      </c>
      <c r="G51" s="38"/>
      <c r="H51" s="38"/>
      <c r="I51" s="37" t="n">
        <v>1</v>
      </c>
      <c r="J51" s="38" t="s">
        <v>269</v>
      </c>
      <c r="K51" s="38"/>
      <c r="L51" s="38" t="s">
        <v>259</v>
      </c>
      <c r="M51" s="38" t="str">
        <f aca="false">IF(OR(E51="אולם חתונות גדול",E51="מתחם רב-אולמי",I51&gt;=2,D51="מרכז",D51="שרון",D51="ירושלים והסביבה"),"גבוה","בינוני")</f>
        <v>בינוני</v>
      </c>
    </row>
    <row r="52" customFormat="false" ht="15" hidden="false" customHeight="false" outlineLevel="0" collapsed="false">
      <c r="B52" s="39" t="n">
        <v>36</v>
      </c>
      <c r="C52" s="32" t="s">
        <v>270</v>
      </c>
      <c r="D52" s="32" t="s">
        <v>264</v>
      </c>
      <c r="E52" s="32" t="s">
        <v>168</v>
      </c>
      <c r="F52" s="32" t="s">
        <v>143</v>
      </c>
      <c r="G52" s="40" t="s">
        <v>231</v>
      </c>
      <c r="H52" s="32" t="s">
        <v>180</v>
      </c>
      <c r="I52" s="39" t="n">
        <v>1</v>
      </c>
      <c r="J52" s="40" t="s">
        <v>271</v>
      </c>
      <c r="K52" s="40"/>
      <c r="L52" s="40" t="s">
        <v>259</v>
      </c>
      <c r="M52" s="40" t="str">
        <f aca="false">IF(OR(E52="אולם חתונות גדול",E52="מתחם רב-אולמי",I52&gt;=2,D52="מרכז",D52="שרון",D52="ירושלים והסביבה"),"גבוה","בינוני")</f>
        <v>בינוני</v>
      </c>
    </row>
    <row r="53" customFormat="false" ht="15" hidden="false" customHeight="false" outlineLevel="0" collapsed="false">
      <c r="B53" s="37" t="n">
        <v>37</v>
      </c>
      <c r="C53" s="30" t="s">
        <v>272</v>
      </c>
      <c r="D53" s="30" t="s">
        <v>273</v>
      </c>
      <c r="E53" s="30" t="s">
        <v>168</v>
      </c>
      <c r="F53" s="30" t="s">
        <v>143</v>
      </c>
      <c r="G53" s="38" t="s">
        <v>236</v>
      </c>
      <c r="H53" s="30" t="s">
        <v>180</v>
      </c>
      <c r="I53" s="37" t="n">
        <v>1</v>
      </c>
      <c r="J53" s="38" t="s">
        <v>274</v>
      </c>
      <c r="K53" s="38"/>
      <c r="L53" s="38" t="s">
        <v>259</v>
      </c>
      <c r="M53" s="38" t="str">
        <f aca="false">IF(OR(E53="אולם חתונות גדול",E53="מתחם רב-אולמי",I53&gt;=2,D53="מרכז",D53="שרון",D53="ירושלים והסביבה"),"גבוה","בינוני")</f>
        <v>בינוני</v>
      </c>
    </row>
    <row r="54" customFormat="false" ht="15" hidden="false" customHeight="false" outlineLevel="0" collapsed="false">
      <c r="B54" s="39" t="n">
        <v>38</v>
      </c>
      <c r="C54" s="32" t="s">
        <v>275</v>
      </c>
      <c r="D54" s="32" t="s">
        <v>276</v>
      </c>
      <c r="E54" s="32" t="s">
        <v>168</v>
      </c>
      <c r="F54" s="32" t="s">
        <v>144</v>
      </c>
      <c r="G54" s="40"/>
      <c r="H54" s="40"/>
      <c r="I54" s="39" t="n">
        <v>1</v>
      </c>
      <c r="J54" s="40" t="s">
        <v>277</v>
      </c>
      <c r="K54" s="40"/>
      <c r="L54" s="40" t="s">
        <v>259</v>
      </c>
      <c r="M54" s="40" t="str">
        <f aca="false">IF(OR(E54="אולם חתונות גדול",E54="מתחם רב-אולמי",I54&gt;=2,D54="מרכז",D54="שרון",D54="ירושלים והסביבה"),"גבוה","בינוני")</f>
        <v>בינוני</v>
      </c>
    </row>
    <row r="55" customFormat="false" ht="15" hidden="false" customHeight="false" outlineLevel="0" collapsed="false">
      <c r="B55" s="37" t="n">
        <v>39</v>
      </c>
      <c r="C55" s="30" t="s">
        <v>278</v>
      </c>
      <c r="D55" s="30" t="s">
        <v>196</v>
      </c>
      <c r="E55" s="30" t="s">
        <v>179</v>
      </c>
      <c r="F55" s="30" t="s">
        <v>143</v>
      </c>
      <c r="G55" s="38"/>
      <c r="H55" s="38"/>
      <c r="I55" s="37" t="n">
        <v>1</v>
      </c>
      <c r="J55" s="38" t="s">
        <v>279</v>
      </c>
      <c r="K55" s="38"/>
      <c r="L55" s="38" t="s">
        <v>259</v>
      </c>
      <c r="M55" s="38" t="str">
        <f aca="false">IF(OR(E55="אולם חתונות גדול",E55="מתחם רב-אולמי",I55&gt;=2,D55="מרכז",D55="שרון",D55="ירושלים והסביבה"),"גבוה","בינוני")</f>
        <v>בינוני</v>
      </c>
    </row>
    <row r="56" customFormat="false" ht="15" hidden="false" customHeight="false" outlineLevel="0" collapsed="false">
      <c r="B56" s="39" t="n">
        <v>40</v>
      </c>
      <c r="C56" s="32" t="s">
        <v>280</v>
      </c>
      <c r="D56" s="32" t="s">
        <v>281</v>
      </c>
      <c r="E56" s="32" t="s">
        <v>282</v>
      </c>
      <c r="F56" s="32" t="s">
        <v>142</v>
      </c>
      <c r="G56" s="40"/>
      <c r="H56" s="40"/>
      <c r="I56" s="39" t="n">
        <v>1</v>
      </c>
      <c r="J56" s="40" t="s">
        <v>283</v>
      </c>
      <c r="K56" s="40"/>
      <c r="L56" s="40" t="s">
        <v>259</v>
      </c>
      <c r="M56" s="40" t="str">
        <f aca="false">IF(OR(E56="אולם חתונות גדול",E56="מתחם רב-אולמי",I56&gt;=2,D56="מרכז",D56="שרון",D56="ירושלים והסביבה"),"גבוה","בינוני")</f>
        <v>בינוני</v>
      </c>
    </row>
    <row r="57" customFormat="false" ht="15" hidden="false" customHeight="false" outlineLevel="0" collapsed="false">
      <c r="B57" s="37" t="n">
        <v>41</v>
      </c>
      <c r="C57" s="38" t="s">
        <v>284</v>
      </c>
      <c r="D57" s="30" t="s">
        <v>285</v>
      </c>
      <c r="E57" s="30" t="s">
        <v>163</v>
      </c>
      <c r="F57" s="30" t="s">
        <v>143</v>
      </c>
      <c r="G57" s="38"/>
      <c r="H57" s="38"/>
      <c r="I57" s="37" t="n">
        <v>1</v>
      </c>
      <c r="J57" s="38" t="s">
        <v>286</v>
      </c>
      <c r="K57" s="38"/>
      <c r="L57" s="38" t="s">
        <v>259</v>
      </c>
      <c r="M57" s="38" t="str">
        <f aca="false">IF(OR(E57="אולם חתונות גדול",E57="מתחם רב-אולמי",I57&gt;=2,D57="מרכז",D57="שרון",D57="ירושלים והסביבה"),"גבוה","בינוני")</f>
        <v>בינוני</v>
      </c>
    </row>
    <row r="58" customFormat="false" ht="15" hidden="false" customHeight="false" outlineLevel="0" collapsed="false">
      <c r="B58" s="39" t="n">
        <v>42</v>
      </c>
      <c r="C58" s="32" t="s">
        <v>287</v>
      </c>
      <c r="D58" s="32" t="s">
        <v>196</v>
      </c>
      <c r="E58" s="32" t="s">
        <v>179</v>
      </c>
      <c r="F58" s="32" t="s">
        <v>143</v>
      </c>
      <c r="G58" s="40"/>
      <c r="H58" s="40"/>
      <c r="I58" s="39" t="n">
        <v>1</v>
      </c>
      <c r="J58" s="40" t="s">
        <v>288</v>
      </c>
      <c r="K58" s="40"/>
      <c r="L58" s="40" t="s">
        <v>259</v>
      </c>
      <c r="M58" s="40" t="str">
        <f aca="false">IF(OR(E58="אולם חתונות גדול",E58="מתחם רב-אולמי",I58&gt;=2,D58="מרכז",D58="שרון",D58="ירושלים והסביבה"),"גבוה","בינוני")</f>
        <v>בינוני</v>
      </c>
    </row>
    <row r="59" customFormat="false" ht="15" hidden="false" customHeight="false" outlineLevel="0" collapsed="false">
      <c r="B59" s="37" t="n">
        <v>43</v>
      </c>
      <c r="C59" s="30" t="s">
        <v>289</v>
      </c>
      <c r="D59" s="30" t="s">
        <v>178</v>
      </c>
      <c r="E59" s="30" t="s">
        <v>179</v>
      </c>
      <c r="F59" s="30" t="s">
        <v>143</v>
      </c>
      <c r="G59" s="38" t="s">
        <v>290</v>
      </c>
      <c r="H59" s="30" t="s">
        <v>180</v>
      </c>
      <c r="I59" s="37" t="n">
        <v>1</v>
      </c>
      <c r="J59" s="38" t="s">
        <v>291</v>
      </c>
      <c r="K59" s="38"/>
      <c r="L59" s="38" t="s">
        <v>259</v>
      </c>
      <c r="M59" s="38" t="str">
        <f aca="false">IF(OR(E59="אולם חתונות גדול",E59="מתחם רב-אולמי",I59&gt;=2,D59="מרכז",D59="שרון",D59="ירושלים והסביבה"),"גבוה","בינוני")</f>
        <v>בינוני</v>
      </c>
    </row>
    <row r="60" customFormat="false" ht="15" hidden="false" customHeight="false" outlineLevel="0" collapsed="false">
      <c r="B60" s="39" t="n">
        <v>44</v>
      </c>
      <c r="C60" s="32" t="s">
        <v>292</v>
      </c>
      <c r="D60" s="32" t="s">
        <v>196</v>
      </c>
      <c r="E60" s="32" t="s">
        <v>179</v>
      </c>
      <c r="F60" s="32" t="s">
        <v>143</v>
      </c>
      <c r="G60" s="40"/>
      <c r="H60" s="40"/>
      <c r="I60" s="39" t="n">
        <v>2</v>
      </c>
      <c r="J60" s="40" t="s">
        <v>293</v>
      </c>
      <c r="K60" s="40"/>
      <c r="L60" s="40" t="s">
        <v>259</v>
      </c>
      <c r="M60" s="40" t="str">
        <f aca="false">IF(OR(E60="אולם חתונות גדול",E60="מתחם רב-אולמי",I60&gt;=2,D60="מרכז",D60="שרון",D60="ירושלים והסביבה"),"גבוה","בינוני")</f>
        <v>גבוה</v>
      </c>
    </row>
    <row r="61" customFormat="false" ht="15" hidden="false" customHeight="false" outlineLevel="0" collapsed="false">
      <c r="B61" s="37" t="n">
        <v>45</v>
      </c>
      <c r="C61" s="30" t="s">
        <v>294</v>
      </c>
      <c r="D61" s="30" t="s">
        <v>295</v>
      </c>
      <c r="E61" s="30" t="s">
        <v>179</v>
      </c>
      <c r="F61" s="30" t="s">
        <v>143</v>
      </c>
      <c r="G61" s="38"/>
      <c r="H61" s="38"/>
      <c r="I61" s="37" t="n">
        <v>1</v>
      </c>
      <c r="J61" s="38" t="s">
        <v>296</v>
      </c>
      <c r="K61" s="38"/>
      <c r="L61" s="38" t="s">
        <v>259</v>
      </c>
      <c r="M61" s="38" t="str">
        <f aca="false">IF(OR(E61="אולם חתונות גדול",E61="מתחם רב-אולמי",I61&gt;=2,D61="מרכז",D61="שרון",D61="ירושלים והסביבה"),"גבוה","בינוני")</f>
        <v>בינוני</v>
      </c>
    </row>
    <row r="62" customFormat="false" ht="23.85" hidden="false" customHeight="false" outlineLevel="0" collapsed="false">
      <c r="B62" s="39" t="n">
        <v>46</v>
      </c>
      <c r="C62" s="32" t="s">
        <v>297</v>
      </c>
      <c r="D62" s="32" t="s">
        <v>298</v>
      </c>
      <c r="E62" s="32" t="s">
        <v>179</v>
      </c>
      <c r="F62" s="32" t="s">
        <v>148</v>
      </c>
      <c r="G62" s="40"/>
      <c r="H62" s="40"/>
      <c r="I62" s="39" t="n">
        <v>1</v>
      </c>
      <c r="J62" s="40" t="s">
        <v>299</v>
      </c>
      <c r="K62" s="40"/>
      <c r="L62" s="40" t="s">
        <v>259</v>
      </c>
      <c r="M62" s="40" t="str">
        <f aca="false">IF(OR(E62="אולם חתונות גדול",E62="מתחם רב-אולמי",I62&gt;=2,D62="מרכז",D62="שרון",D62="ירושלים והסביבה"),"גבוה","בינוני")</f>
        <v>בינוני</v>
      </c>
    </row>
    <row r="63" customFormat="false" ht="15" hidden="false" customHeight="false" outlineLevel="0" collapsed="false">
      <c r="B63" s="37" t="n">
        <v>47</v>
      </c>
      <c r="C63" s="30" t="s">
        <v>300</v>
      </c>
      <c r="D63" s="30" t="s">
        <v>301</v>
      </c>
      <c r="E63" s="30" t="s">
        <v>179</v>
      </c>
      <c r="F63" s="30" t="s">
        <v>143</v>
      </c>
      <c r="G63" s="38"/>
      <c r="H63" s="38"/>
      <c r="I63" s="37" t="n">
        <v>1</v>
      </c>
      <c r="J63" s="38" t="s">
        <v>302</v>
      </c>
      <c r="K63" s="38"/>
      <c r="L63" s="38" t="s">
        <v>259</v>
      </c>
      <c r="M63" s="38" t="str">
        <f aca="false">IF(OR(E63="אולם חתונות גדול",E63="מתחם רב-אולמי",I63&gt;=2,D63="מרכז",D63="שרון",D63="ירושלים והסביבה"),"גבוה","בינוני")</f>
        <v>בינוני</v>
      </c>
    </row>
    <row r="64" customFormat="false" ht="15" hidden="false" customHeight="false" outlineLevel="0" collapsed="false">
      <c r="B64" s="39" t="n">
        <v>48</v>
      </c>
      <c r="C64" s="32" t="s">
        <v>303</v>
      </c>
      <c r="D64" s="32" t="s">
        <v>304</v>
      </c>
      <c r="E64" s="32" t="s">
        <v>179</v>
      </c>
      <c r="F64" s="32" t="s">
        <v>143</v>
      </c>
      <c r="G64" s="40" t="s">
        <v>189</v>
      </c>
      <c r="H64" s="32" t="s">
        <v>180</v>
      </c>
      <c r="I64" s="39" t="n">
        <v>1</v>
      </c>
      <c r="J64" s="40" t="s">
        <v>305</v>
      </c>
      <c r="K64" s="40"/>
      <c r="L64" s="40" t="s">
        <v>259</v>
      </c>
      <c r="M64" s="40" t="str">
        <f aca="false">IF(OR(E64="אולם חתונות גדול",E64="מתחם רב-אולמי",I64&gt;=2,D64="מרכז",D64="שרון",D64="ירושלים והסביבה"),"גבוה","בינוני")</f>
        <v>בינוני</v>
      </c>
    </row>
    <row r="65" customFormat="false" ht="15" hidden="false" customHeight="false" outlineLevel="0" collapsed="false">
      <c r="B65" s="37" t="n">
        <v>49</v>
      </c>
      <c r="C65" s="30" t="s">
        <v>306</v>
      </c>
      <c r="D65" s="30" t="s">
        <v>307</v>
      </c>
      <c r="E65" s="30" t="s">
        <v>179</v>
      </c>
      <c r="F65" s="30" t="s">
        <v>144</v>
      </c>
      <c r="G65" s="38"/>
      <c r="H65" s="38"/>
      <c r="I65" s="37" t="n">
        <v>1</v>
      </c>
      <c r="J65" s="38" t="s">
        <v>308</v>
      </c>
      <c r="K65" s="38"/>
      <c r="L65" s="38" t="s">
        <v>259</v>
      </c>
      <c r="M65" s="38" t="str">
        <f aca="false">IF(OR(E65="אולם חתונות גדול",E65="מתחם רב-אולמי",I65&gt;=2,D65="מרכז",D65="שרון",D65="ירושלים והסביבה"),"גבוה","בינוני")</f>
        <v>בינוני</v>
      </c>
    </row>
    <row r="66" customFormat="false" ht="15" hidden="false" customHeight="false" outlineLevel="0" collapsed="false">
      <c r="B66" s="39" t="n">
        <v>50</v>
      </c>
      <c r="C66" s="32" t="s">
        <v>309</v>
      </c>
      <c r="D66" s="32" t="s">
        <v>196</v>
      </c>
      <c r="E66" s="32" t="s">
        <v>179</v>
      </c>
      <c r="F66" s="32" t="s">
        <v>146</v>
      </c>
      <c r="G66" s="40"/>
      <c r="H66" s="40"/>
      <c r="I66" s="39" t="n">
        <v>1</v>
      </c>
      <c r="J66" s="40" t="s">
        <v>310</v>
      </c>
      <c r="K66" s="40"/>
      <c r="L66" s="40" t="s">
        <v>259</v>
      </c>
      <c r="M66" s="40" t="str">
        <f aca="false">IF(OR(E66="אולם חתונות גדול",E66="מתחם רב-אולמי",I66&gt;=2,D66="מרכז",D66="שרון",D66="ירושלים והסביבה"),"גבוה","בינוני")</f>
        <v>בינוני</v>
      </c>
    </row>
    <row r="67" customFormat="false" ht="23.85" hidden="false" customHeight="false" outlineLevel="0" collapsed="false">
      <c r="B67" s="37" t="n">
        <v>51</v>
      </c>
      <c r="C67" s="30" t="s">
        <v>311</v>
      </c>
      <c r="D67" s="30" t="s">
        <v>312</v>
      </c>
      <c r="E67" s="30" t="s">
        <v>179</v>
      </c>
      <c r="F67" s="30" t="s">
        <v>148</v>
      </c>
      <c r="G67" s="38"/>
      <c r="H67" s="38"/>
      <c r="I67" s="37" t="n">
        <v>1</v>
      </c>
      <c r="J67" s="38" t="s">
        <v>313</v>
      </c>
      <c r="K67" s="38"/>
      <c r="L67" s="38" t="s">
        <v>259</v>
      </c>
      <c r="M67" s="38" t="str">
        <f aca="false">IF(OR(E67="אולם חתונות גדול",E67="מתחם רב-אולמי",I67&gt;=2,D67="מרכז",D67="שרון",D67="ירושלים והסביבה"),"גבוה","בינוני")</f>
        <v>בינוני</v>
      </c>
    </row>
    <row r="68" customFormat="false" ht="15" hidden="false" customHeight="false" outlineLevel="0" collapsed="false">
      <c r="B68" s="39" t="n">
        <v>52</v>
      </c>
      <c r="C68" s="40" t="s">
        <v>314</v>
      </c>
      <c r="D68" s="32" t="s">
        <v>304</v>
      </c>
      <c r="E68" s="32" t="s">
        <v>179</v>
      </c>
      <c r="F68" s="32" t="s">
        <v>143</v>
      </c>
      <c r="G68" s="40"/>
      <c r="H68" s="40"/>
      <c r="I68" s="39" t="n">
        <v>1</v>
      </c>
      <c r="J68" s="40" t="s">
        <v>315</v>
      </c>
      <c r="K68" s="40"/>
      <c r="L68" s="40" t="s">
        <v>259</v>
      </c>
      <c r="M68" s="40" t="str">
        <f aca="false">IF(OR(E68="אולם חתונות גדול",E68="מתחם רב-אולמי",I68&gt;=2,D68="מרכז",D68="שרון",D68="ירושלים והסביבה"),"גבוה","בינוני")</f>
        <v>בינוני</v>
      </c>
    </row>
    <row r="69" customFormat="false" ht="23.85" hidden="false" customHeight="false" outlineLevel="0" collapsed="false">
      <c r="B69" s="37" t="n">
        <v>53</v>
      </c>
      <c r="C69" s="30" t="s">
        <v>316</v>
      </c>
      <c r="D69" s="30" t="s">
        <v>312</v>
      </c>
      <c r="E69" s="30" t="s">
        <v>179</v>
      </c>
      <c r="F69" s="30" t="s">
        <v>148</v>
      </c>
      <c r="G69" s="38"/>
      <c r="H69" s="38"/>
      <c r="I69" s="37" t="n">
        <v>1</v>
      </c>
      <c r="J69" s="38" t="s">
        <v>317</v>
      </c>
      <c r="K69" s="38"/>
      <c r="L69" s="38" t="s">
        <v>259</v>
      </c>
      <c r="M69" s="38" t="str">
        <f aca="false">IF(OR(E69="אולם חתונות גדול",E69="מתחם רב-אולמי",I69&gt;=2,D69="מרכז",D69="שרון",D69="ירושלים והסביבה"),"גבוה","בינוני")</f>
        <v>בינוני</v>
      </c>
    </row>
    <row r="70" customFormat="false" ht="15" hidden="false" customHeight="false" outlineLevel="0" collapsed="false">
      <c r="B70" s="39" t="n">
        <v>54</v>
      </c>
      <c r="C70" s="32" t="s">
        <v>318</v>
      </c>
      <c r="D70" s="32" t="s">
        <v>239</v>
      </c>
      <c r="E70" s="32" t="s">
        <v>179</v>
      </c>
      <c r="F70" s="32" t="s">
        <v>143</v>
      </c>
      <c r="G70" s="40"/>
      <c r="H70" s="40"/>
      <c r="I70" s="39" t="n">
        <v>1</v>
      </c>
      <c r="J70" s="40"/>
      <c r="K70" s="40"/>
      <c r="L70" s="40" t="s">
        <v>259</v>
      </c>
      <c r="M70" s="40" t="str">
        <f aca="false">IF(OR(E70="אולם חתונות גדול",E70="מתחם רב-אולמי",I70&gt;=2,D70="מרכז",D70="שרון",D70="ירושלים והסביבה"),"גבוה","בינוני")</f>
        <v>בינוני</v>
      </c>
    </row>
    <row r="71" customFormat="false" ht="15" hidden="false" customHeight="false" outlineLevel="0" collapsed="false">
      <c r="B71" s="37" t="n">
        <v>55</v>
      </c>
      <c r="C71" s="30" t="s">
        <v>319</v>
      </c>
      <c r="D71" s="30" t="s">
        <v>320</v>
      </c>
      <c r="E71" s="30" t="s">
        <v>175</v>
      </c>
      <c r="F71" s="30" t="s">
        <v>143</v>
      </c>
      <c r="G71" s="38"/>
      <c r="H71" s="38"/>
      <c r="I71" s="37" t="n">
        <v>1</v>
      </c>
      <c r="J71" s="38" t="s">
        <v>321</v>
      </c>
      <c r="K71" s="38"/>
      <c r="L71" s="38" t="s">
        <v>259</v>
      </c>
      <c r="M71" s="38" t="str">
        <f aca="false">IF(OR(E71="אולם חתונות גדול",E71="מתחם רב-אולמי",I71&gt;=2,D71="מרכז",D71="שרון",D71="ירושלים והסביבה"),"גבוה","בינוני")</f>
        <v>בינוני</v>
      </c>
    </row>
    <row r="72" customFormat="false" ht="15" hidden="false" customHeight="false" outlineLevel="0" collapsed="false">
      <c r="B72" s="39" t="n">
        <v>56</v>
      </c>
      <c r="C72" s="32" t="s">
        <v>322</v>
      </c>
      <c r="D72" s="32" t="s">
        <v>323</v>
      </c>
      <c r="E72" s="32" t="s">
        <v>175</v>
      </c>
      <c r="F72" s="32" t="s">
        <v>142</v>
      </c>
      <c r="G72" s="40"/>
      <c r="H72" s="40"/>
      <c r="I72" s="39" t="n">
        <v>1</v>
      </c>
      <c r="J72" s="40" t="s">
        <v>324</v>
      </c>
      <c r="K72" s="40"/>
      <c r="L72" s="40" t="s">
        <v>259</v>
      </c>
      <c r="M72" s="40" t="str">
        <f aca="false">IF(OR(E72="אולם חתונות גדול",E72="מתחם רב-אולמי",I72&gt;=2,D72="מרכז",D72="שרון",D72="ירושלים והסביבה"),"גבוה","בינוני")</f>
        <v>בינוני</v>
      </c>
    </row>
    <row r="73" customFormat="false" ht="15" hidden="false" customHeight="false" outlineLevel="0" collapsed="false">
      <c r="B73" s="37" t="n">
        <v>57</v>
      </c>
      <c r="C73" s="30" t="s">
        <v>325</v>
      </c>
      <c r="D73" s="30" t="s">
        <v>323</v>
      </c>
      <c r="E73" s="30" t="s">
        <v>175</v>
      </c>
      <c r="F73" s="30" t="s">
        <v>144</v>
      </c>
      <c r="G73" s="38"/>
      <c r="H73" s="38"/>
      <c r="I73" s="37" t="n">
        <v>1</v>
      </c>
      <c r="J73" s="38" t="s">
        <v>326</v>
      </c>
      <c r="K73" s="38"/>
      <c r="L73" s="38" t="s">
        <v>259</v>
      </c>
      <c r="M73" s="38" t="str">
        <f aca="false">IF(OR(E73="אולם חתונות גדול",E73="מתחם רב-אולמי",I73&gt;=2,D73="מרכז",D73="שרון",D73="ירושלים והסביבה"),"גבוה","בינוני")</f>
        <v>בינוני</v>
      </c>
    </row>
    <row r="74" customFormat="false" ht="15" hidden="false" customHeight="false" outlineLevel="0" collapsed="false">
      <c r="B74" s="39" t="n">
        <v>58</v>
      </c>
      <c r="C74" s="32" t="s">
        <v>327</v>
      </c>
      <c r="D74" s="32" t="s">
        <v>328</v>
      </c>
      <c r="E74" s="32" t="s">
        <v>175</v>
      </c>
      <c r="F74" s="32" t="s">
        <v>143</v>
      </c>
      <c r="G74" s="40"/>
      <c r="H74" s="40"/>
      <c r="I74" s="39" t="n">
        <v>1</v>
      </c>
      <c r="J74" s="40" t="s">
        <v>329</v>
      </c>
      <c r="K74" s="40"/>
      <c r="L74" s="40" t="s">
        <v>259</v>
      </c>
      <c r="M74" s="40" t="str">
        <f aca="false">IF(OR(E74="אולם חתונות גדול",E74="מתחם רב-אולמי",I74&gt;=2,D74="מרכז",D74="שרון",D74="ירושלים והסביבה"),"גבוה","בינוני")</f>
        <v>בינוני</v>
      </c>
    </row>
    <row r="75" customFormat="false" ht="15" hidden="false" customHeight="false" outlineLevel="0" collapsed="false">
      <c r="B75" s="37" t="n">
        <v>59</v>
      </c>
      <c r="C75" s="30" t="s">
        <v>330</v>
      </c>
      <c r="D75" s="30" t="s">
        <v>323</v>
      </c>
      <c r="E75" s="30" t="s">
        <v>175</v>
      </c>
      <c r="F75" s="30" t="s">
        <v>143</v>
      </c>
      <c r="G75" s="38"/>
      <c r="H75" s="38"/>
      <c r="I75" s="37" t="n">
        <v>1</v>
      </c>
      <c r="J75" s="38" t="s">
        <v>331</v>
      </c>
      <c r="K75" s="38"/>
      <c r="L75" s="38" t="s">
        <v>259</v>
      </c>
      <c r="M75" s="38" t="str">
        <f aca="false">IF(OR(E75="אולם חתונות גדול",E75="מתחם רב-אולמי",I75&gt;=2,D75="מרכז",D75="שרון",D75="ירושלים והסביבה"),"גבוה","בינוני")</f>
        <v>בינוני</v>
      </c>
    </row>
    <row r="76" customFormat="false" ht="15" hidden="false" customHeight="false" outlineLevel="0" collapsed="false">
      <c r="B76" s="39" t="n">
        <v>60</v>
      </c>
      <c r="C76" s="32" t="s">
        <v>332</v>
      </c>
      <c r="D76" s="32" t="s">
        <v>323</v>
      </c>
      <c r="E76" s="32" t="s">
        <v>175</v>
      </c>
      <c r="F76" s="32" t="s">
        <v>144</v>
      </c>
      <c r="G76" s="40"/>
      <c r="H76" s="40"/>
      <c r="I76" s="39" t="n">
        <v>1</v>
      </c>
      <c r="J76" s="40" t="s">
        <v>333</v>
      </c>
      <c r="K76" s="40"/>
      <c r="L76" s="40" t="s">
        <v>259</v>
      </c>
      <c r="M76" s="40" t="str">
        <f aca="false">IF(OR(E76="אולם חתונות גדול",E76="מתחם רב-אולמי",I76&gt;=2,D76="מרכז",D76="שרון",D76="ירושלים והסביבה"),"גבוה","בינוני")</f>
        <v>בינוני</v>
      </c>
    </row>
    <row r="77" customFormat="false" ht="15" hidden="false" customHeight="false" outlineLevel="0" collapsed="false">
      <c r="B77" s="37" t="n">
        <v>61</v>
      </c>
      <c r="C77" s="30" t="s">
        <v>334</v>
      </c>
      <c r="D77" s="30" t="s">
        <v>183</v>
      </c>
      <c r="E77" s="30" t="s">
        <v>175</v>
      </c>
      <c r="F77" s="30" t="s">
        <v>143</v>
      </c>
      <c r="G77" s="38" t="s">
        <v>335</v>
      </c>
      <c r="H77" s="30" t="s">
        <v>180</v>
      </c>
      <c r="I77" s="37" t="n">
        <v>1</v>
      </c>
      <c r="J77" s="38" t="s">
        <v>336</v>
      </c>
      <c r="K77" s="38"/>
      <c r="L77" s="38" t="s">
        <v>259</v>
      </c>
      <c r="M77" s="38" t="str">
        <f aca="false">IF(OR(E77="אולם חתונות גדול",E77="מתחם רב-אולמי",I77&gt;=2,D77="מרכז",D77="שרון",D77="ירושלים והסביבה"),"גבוה","בינוני")</f>
        <v>בינוני</v>
      </c>
    </row>
    <row r="78" customFormat="false" ht="15" hidden="false" customHeight="false" outlineLevel="0" collapsed="false">
      <c r="B78" s="39" t="n">
        <v>62</v>
      </c>
      <c r="C78" s="32" t="s">
        <v>337</v>
      </c>
      <c r="D78" s="32" t="s">
        <v>323</v>
      </c>
      <c r="E78" s="32" t="s">
        <v>175</v>
      </c>
      <c r="F78" s="32" t="s">
        <v>143</v>
      </c>
      <c r="G78" s="40"/>
      <c r="H78" s="40"/>
      <c r="I78" s="39" t="n">
        <v>1</v>
      </c>
      <c r="J78" s="40" t="s">
        <v>338</v>
      </c>
      <c r="K78" s="40"/>
      <c r="L78" s="40" t="s">
        <v>259</v>
      </c>
      <c r="M78" s="40" t="str">
        <f aca="false">IF(OR(E78="אולם חתונות גדול",E78="מתחם רב-אולמי",I78&gt;=2,D78="מרכז",D78="שרון",D78="ירושלים והסביבה"),"גבוה","בינוני")</f>
        <v>בינוני</v>
      </c>
    </row>
    <row r="79" customFormat="false" ht="15" hidden="false" customHeight="false" outlineLevel="0" collapsed="false">
      <c r="B79" s="37" t="n">
        <v>63</v>
      </c>
      <c r="C79" s="30" t="s">
        <v>339</v>
      </c>
      <c r="D79" s="30" t="s">
        <v>340</v>
      </c>
      <c r="E79" s="30" t="s">
        <v>175</v>
      </c>
      <c r="F79" s="30" t="s">
        <v>143</v>
      </c>
      <c r="G79" s="38" t="s">
        <v>290</v>
      </c>
      <c r="H79" s="30" t="s">
        <v>180</v>
      </c>
      <c r="I79" s="37" t="n">
        <v>1</v>
      </c>
      <c r="J79" s="38" t="s">
        <v>341</v>
      </c>
      <c r="K79" s="38"/>
      <c r="L79" s="38" t="s">
        <v>259</v>
      </c>
      <c r="M79" s="38" t="str">
        <f aca="false">IF(OR(E79="אולם חתונות גדול",E79="מתחם רב-אולמי",I79&gt;=2,D79="מרכז",D79="שרון",D79="ירושלים והסביבה"),"גבוה","בינוני")</f>
        <v>בינוני</v>
      </c>
    </row>
    <row r="80" customFormat="false" ht="15" hidden="false" customHeight="false" outlineLevel="0" collapsed="false">
      <c r="B80" s="39" t="n">
        <v>64</v>
      </c>
      <c r="C80" s="40" t="s">
        <v>342</v>
      </c>
      <c r="D80" s="32" t="s">
        <v>343</v>
      </c>
      <c r="E80" s="32" t="s">
        <v>168</v>
      </c>
      <c r="F80" s="32" t="s">
        <v>145</v>
      </c>
      <c r="G80" s="40"/>
      <c r="H80" s="40"/>
      <c r="I80" s="39" t="n">
        <v>1</v>
      </c>
      <c r="J80" s="40" t="s">
        <v>344</v>
      </c>
      <c r="K80" s="40"/>
      <c r="L80" s="40" t="s">
        <v>345</v>
      </c>
      <c r="M80" s="40" t="str">
        <f aca="false">IF(OR(E80="אולם חתונות גדול",E80="מתחם רב-אולמי",I80&gt;=2,D80="מרכז",D80="שרון",D80="ירושלים והסביבה"),"גבוה","בינוני")</f>
        <v>בינוני</v>
      </c>
    </row>
    <row r="81" customFormat="false" ht="15" hidden="false" customHeight="false" outlineLevel="0" collapsed="false">
      <c r="B81" s="37" t="n">
        <v>65</v>
      </c>
      <c r="C81" s="30" t="s">
        <v>346</v>
      </c>
      <c r="D81" s="30" t="s">
        <v>347</v>
      </c>
      <c r="E81" s="30" t="s">
        <v>168</v>
      </c>
      <c r="F81" s="30" t="s">
        <v>144</v>
      </c>
      <c r="G81" s="38" t="s">
        <v>189</v>
      </c>
      <c r="H81" s="30" t="s">
        <v>180</v>
      </c>
      <c r="I81" s="37" t="n">
        <v>1</v>
      </c>
      <c r="J81" s="38" t="s">
        <v>348</v>
      </c>
      <c r="K81" s="38"/>
      <c r="L81" s="38" t="s">
        <v>345</v>
      </c>
      <c r="M81" s="38" t="str">
        <f aca="false">IF(OR(E81="אולם חתונות גדול",E81="מתחם רב-אולמי",I81&gt;=2,D81="מרכז",D81="שרון",D81="ירושלים והסביבה"),"גבוה","בינוני")</f>
        <v>בינוני</v>
      </c>
    </row>
    <row r="82" customFormat="false" ht="15" hidden="false" customHeight="false" outlineLevel="0" collapsed="false">
      <c r="B82" s="39" t="n">
        <v>66</v>
      </c>
      <c r="C82" s="32" t="s">
        <v>349</v>
      </c>
      <c r="D82" s="32" t="s">
        <v>350</v>
      </c>
      <c r="E82" s="32" t="s">
        <v>282</v>
      </c>
      <c r="F82" s="32" t="s">
        <v>147</v>
      </c>
      <c r="G82" s="40"/>
      <c r="H82" s="40"/>
      <c r="I82" s="39" t="n">
        <v>1</v>
      </c>
      <c r="J82" s="40" t="s">
        <v>351</v>
      </c>
      <c r="K82" s="40"/>
      <c r="L82" s="40" t="s">
        <v>345</v>
      </c>
      <c r="M82" s="40" t="str">
        <f aca="false">IF(OR(E82="אולם חתונות גדול",E82="מתחם רב-אולמי",I82&gt;=2,D82="מרכז",D82="שרון",D82="ירושלים והסביבה"),"גבוה","בינוני")</f>
        <v>בינוני</v>
      </c>
    </row>
    <row r="83" customFormat="false" ht="15" hidden="false" customHeight="false" outlineLevel="0" collapsed="false">
      <c r="B83" s="37" t="n">
        <v>67</v>
      </c>
      <c r="C83" s="30" t="s">
        <v>352</v>
      </c>
      <c r="D83" s="30" t="s">
        <v>212</v>
      </c>
      <c r="E83" s="30" t="s">
        <v>168</v>
      </c>
      <c r="F83" s="30" t="s">
        <v>146</v>
      </c>
      <c r="G83" s="38" t="s">
        <v>353</v>
      </c>
      <c r="H83" s="30" t="s">
        <v>180</v>
      </c>
      <c r="I83" s="37" t="n">
        <v>1</v>
      </c>
      <c r="J83" s="38" t="s">
        <v>354</v>
      </c>
      <c r="K83" s="38"/>
      <c r="L83" s="38" t="s">
        <v>345</v>
      </c>
      <c r="M83" s="38" t="str">
        <f aca="false">IF(OR(E83="אולם חתונות גדול",E83="מתחם רב-אולמי",I83&gt;=2,D83="מרכז",D83="שרון",D83="ירושלים והסביבה"),"גבוה","בינוני")</f>
        <v>בינוני</v>
      </c>
    </row>
    <row r="84" customFormat="false" ht="15" hidden="false" customHeight="false" outlineLevel="0" collapsed="false">
      <c r="B84" s="39" t="n">
        <v>68</v>
      </c>
      <c r="C84" s="40" t="s">
        <v>355</v>
      </c>
      <c r="D84" s="32" t="s">
        <v>356</v>
      </c>
      <c r="E84" s="32" t="s">
        <v>282</v>
      </c>
      <c r="F84" s="32" t="s">
        <v>142</v>
      </c>
      <c r="G84" s="40"/>
      <c r="H84" s="40"/>
      <c r="I84" s="39" t="n">
        <v>1</v>
      </c>
      <c r="J84" s="40" t="s">
        <v>357</v>
      </c>
      <c r="K84" s="40"/>
      <c r="L84" s="40" t="s">
        <v>345</v>
      </c>
      <c r="M84" s="40" t="str">
        <f aca="false">IF(OR(E84="אולם חתונות גדול",E84="מתחם רב-אולמי",I84&gt;=2,D84="מרכז",D84="שרון",D84="ירושלים והסביבה"),"גבוה","בינוני")</f>
        <v>בינוני</v>
      </c>
    </row>
    <row r="85" customFormat="false" ht="15" hidden="false" customHeight="false" outlineLevel="0" collapsed="false">
      <c r="B85" s="37" t="n">
        <v>69</v>
      </c>
      <c r="C85" s="38" t="s">
        <v>358</v>
      </c>
      <c r="D85" s="30" t="s">
        <v>204</v>
      </c>
      <c r="E85" s="30" t="s">
        <v>168</v>
      </c>
      <c r="F85" s="30" t="s">
        <v>142</v>
      </c>
      <c r="G85" s="38"/>
      <c r="H85" s="38"/>
      <c r="I85" s="37" t="n">
        <v>1</v>
      </c>
      <c r="J85" s="38" t="s">
        <v>359</v>
      </c>
      <c r="K85" s="38"/>
      <c r="L85" s="38" t="s">
        <v>345</v>
      </c>
      <c r="M85" s="38" t="str">
        <f aca="false">IF(OR(E85="אולם חתונות גדול",E85="מתחם רב-אולמי",I85&gt;=2,D85="מרכז",D85="שרון",D85="ירושלים והסביבה"),"גבוה","בינוני")</f>
        <v>בינוני</v>
      </c>
    </row>
    <row r="86" customFormat="false" ht="15" hidden="false" customHeight="false" outlineLevel="0" collapsed="false">
      <c r="B86" s="39" t="n">
        <v>70</v>
      </c>
      <c r="C86" s="40" t="s">
        <v>360</v>
      </c>
      <c r="D86" s="32" t="s">
        <v>361</v>
      </c>
      <c r="E86" s="32" t="s">
        <v>168</v>
      </c>
      <c r="F86" s="32" t="s">
        <v>147</v>
      </c>
      <c r="G86" s="40"/>
      <c r="H86" s="40"/>
      <c r="I86" s="39" t="n">
        <v>1</v>
      </c>
      <c r="J86" s="40" t="s">
        <v>362</v>
      </c>
      <c r="K86" s="40" t="s">
        <v>363</v>
      </c>
      <c r="L86" s="40" t="s">
        <v>345</v>
      </c>
      <c r="M86" s="40" t="str">
        <f aca="false">IF(OR(E86="אולם חתונות גדול",E86="מתחם רב-אולמי",I86&gt;=2,D86="מרכז",D86="שרון",D86="ירושלים והסביבה"),"גבוה","בינוני")</f>
        <v>בינוני</v>
      </c>
    </row>
    <row r="87" customFormat="false" ht="15" hidden="false" customHeight="false" outlineLevel="0" collapsed="false">
      <c r="B87" s="37" t="n">
        <v>71</v>
      </c>
      <c r="C87" s="30" t="s">
        <v>364</v>
      </c>
      <c r="D87" s="30" t="s">
        <v>153</v>
      </c>
      <c r="E87" s="30" t="s">
        <v>168</v>
      </c>
      <c r="F87" s="30" t="s">
        <v>142</v>
      </c>
      <c r="G87" s="38"/>
      <c r="H87" s="38"/>
      <c r="I87" s="37" t="n">
        <v>1</v>
      </c>
      <c r="J87" s="38" t="s">
        <v>365</v>
      </c>
      <c r="K87" s="38"/>
      <c r="L87" s="38" t="s">
        <v>345</v>
      </c>
      <c r="M87" s="38" t="str">
        <f aca="false">IF(OR(E87="אולם חתונות גדול",E87="מתחם רב-אולמי",I87&gt;=2,D87="מרכז",D87="שרון",D87="ירושלים והסביבה"),"גבוה","בינוני")</f>
        <v>בינוני</v>
      </c>
    </row>
    <row r="88" customFormat="false" ht="28.35" hidden="false" customHeight="false" outlineLevel="0" collapsed="false">
      <c r="B88" s="39" t="n">
        <v>72</v>
      </c>
      <c r="C88" s="32" t="s">
        <v>366</v>
      </c>
      <c r="D88" s="32" t="s">
        <v>367</v>
      </c>
      <c r="E88" s="32" t="s">
        <v>168</v>
      </c>
      <c r="F88" s="32" t="s">
        <v>143</v>
      </c>
      <c r="G88" s="40"/>
      <c r="H88" s="40"/>
      <c r="I88" s="39" t="n">
        <v>1</v>
      </c>
      <c r="J88" s="40" t="s">
        <v>368</v>
      </c>
      <c r="K88" s="40" t="s">
        <v>369</v>
      </c>
      <c r="L88" s="40" t="s">
        <v>345</v>
      </c>
      <c r="M88" s="40" t="str">
        <f aca="false">IF(OR(E88="אולם חתונות גדול",E88="מתחם רב-אולמי",I88&gt;=2,D88="מרכז",D88="שרון",D88="ירושלים והסביבה"),"גבוה","בינוני")</f>
        <v>בינוני</v>
      </c>
    </row>
    <row r="89" customFormat="false" ht="15" hidden="false" customHeight="false" outlineLevel="0" collapsed="false">
      <c r="B89" s="37" t="n">
        <v>73</v>
      </c>
      <c r="C89" s="30" t="s">
        <v>370</v>
      </c>
      <c r="D89" s="30" t="s">
        <v>343</v>
      </c>
      <c r="E89" s="30" t="s">
        <v>168</v>
      </c>
      <c r="F89" s="30" t="s">
        <v>142</v>
      </c>
      <c r="G89" s="38"/>
      <c r="H89" s="38"/>
      <c r="I89" s="37" t="n">
        <v>1</v>
      </c>
      <c r="J89" s="38" t="s">
        <v>371</v>
      </c>
      <c r="K89" s="38"/>
      <c r="L89" s="38" t="s">
        <v>345</v>
      </c>
      <c r="M89" s="38" t="str">
        <f aca="false">IF(OR(E89="אולם חתונות גדול",E89="מתחם רב-אולמי",I89&gt;=2,D89="מרכז",D89="שרון",D89="ירושלים והסביבה"),"גבוה","בינוני")</f>
        <v>בינוני</v>
      </c>
    </row>
    <row r="90" customFormat="false" ht="15" hidden="false" customHeight="false" outlineLevel="0" collapsed="false">
      <c r="B90" s="39" t="n">
        <v>74</v>
      </c>
      <c r="C90" s="40" t="s">
        <v>372</v>
      </c>
      <c r="D90" s="32" t="s">
        <v>373</v>
      </c>
      <c r="E90" s="32" t="s">
        <v>168</v>
      </c>
      <c r="F90" s="32" t="s">
        <v>142</v>
      </c>
      <c r="G90" s="40"/>
      <c r="H90" s="40"/>
      <c r="I90" s="39" t="n">
        <v>1</v>
      </c>
      <c r="J90" s="40" t="s">
        <v>374</v>
      </c>
      <c r="K90" s="40"/>
      <c r="L90" s="40" t="s">
        <v>345</v>
      </c>
      <c r="M90" s="40" t="str">
        <f aca="false">IF(OR(E90="אולם חתונות גדול",E90="מתחם רב-אולמי",I90&gt;=2,D90="מרכז",D90="שרון",D90="ירושלים והסביבה"),"גבוה","בינוני")</f>
        <v>בינוני</v>
      </c>
    </row>
    <row r="91" customFormat="false" ht="15" hidden="false" customHeight="false" outlineLevel="0" collapsed="false">
      <c r="B91" s="37" t="n">
        <v>75</v>
      </c>
      <c r="C91" s="30" t="s">
        <v>375</v>
      </c>
      <c r="D91" s="30" t="s">
        <v>376</v>
      </c>
      <c r="E91" s="30" t="s">
        <v>168</v>
      </c>
      <c r="F91" s="30" t="s">
        <v>143</v>
      </c>
      <c r="G91" s="38"/>
      <c r="H91" s="38"/>
      <c r="I91" s="37" t="n">
        <v>1</v>
      </c>
      <c r="J91" s="38" t="s">
        <v>377</v>
      </c>
      <c r="K91" s="38"/>
      <c r="L91" s="38" t="s">
        <v>345</v>
      </c>
      <c r="M91" s="38" t="str">
        <f aca="false">IF(OR(E91="אולם חתונות גדול",E91="מתחם רב-אולמי",I91&gt;=2,D91="מרכז",D91="שרון",D91="ירושלים והסביבה"),"גבוה","בינוני")</f>
        <v>בינוני</v>
      </c>
    </row>
    <row r="92" customFormat="false" ht="15" hidden="false" customHeight="false" outlineLevel="0" collapsed="false">
      <c r="B92" s="39" t="n">
        <v>76</v>
      </c>
      <c r="C92" s="32" t="s">
        <v>378</v>
      </c>
      <c r="D92" s="32" t="s">
        <v>343</v>
      </c>
      <c r="E92" s="32" t="s">
        <v>168</v>
      </c>
      <c r="F92" s="32" t="s">
        <v>142</v>
      </c>
      <c r="G92" s="40"/>
      <c r="H92" s="40"/>
      <c r="I92" s="39" t="n">
        <v>1</v>
      </c>
      <c r="J92" s="40" t="s">
        <v>379</v>
      </c>
      <c r="K92" s="40"/>
      <c r="L92" s="40" t="s">
        <v>345</v>
      </c>
      <c r="M92" s="40" t="str">
        <f aca="false">IF(OR(E92="אולם חתונות גדול",E92="מתחם רב-אולמי",I92&gt;=2,D92="מרכז",D92="שרון",D92="ירושלים והסביבה"),"גבוה","בינוני")</f>
        <v>בינוני</v>
      </c>
    </row>
    <row r="93" customFormat="false" ht="15" hidden="false" customHeight="false" outlineLevel="0" collapsed="false">
      <c r="B93" s="37" t="n">
        <v>77</v>
      </c>
      <c r="C93" s="30" t="s">
        <v>380</v>
      </c>
      <c r="D93" s="30" t="s">
        <v>343</v>
      </c>
      <c r="E93" s="30" t="s">
        <v>168</v>
      </c>
      <c r="F93" s="30" t="s">
        <v>145</v>
      </c>
      <c r="G93" s="38"/>
      <c r="H93" s="38"/>
      <c r="I93" s="37" t="n">
        <v>1</v>
      </c>
      <c r="J93" s="38" t="s">
        <v>381</v>
      </c>
      <c r="K93" s="38"/>
      <c r="L93" s="38" t="s">
        <v>345</v>
      </c>
      <c r="M93" s="38" t="str">
        <f aca="false">IF(OR(E93="אולם חתונות גדול",E93="מתחם רב-אולמי",I93&gt;=2,D93="מרכז",D93="שרון",D93="ירושלים והסביבה"),"גבוה","בינוני")</f>
        <v>בינוני</v>
      </c>
    </row>
    <row r="94" customFormat="false" ht="28.35" hidden="false" customHeight="false" outlineLevel="0" collapsed="false">
      <c r="B94" s="39" t="n">
        <v>78</v>
      </c>
      <c r="C94" s="40" t="s">
        <v>382</v>
      </c>
      <c r="D94" s="32" t="s">
        <v>204</v>
      </c>
      <c r="E94" s="32" t="s">
        <v>168</v>
      </c>
      <c r="F94" s="32" t="s">
        <v>145</v>
      </c>
      <c r="G94" s="40"/>
      <c r="H94" s="40"/>
      <c r="I94" s="39" t="n">
        <v>1</v>
      </c>
      <c r="J94" s="40" t="s">
        <v>383</v>
      </c>
      <c r="K94" s="40" t="s">
        <v>384</v>
      </c>
      <c r="L94" s="40" t="s">
        <v>345</v>
      </c>
      <c r="M94" s="40" t="str">
        <f aca="false">IF(OR(E94="אולם חתונות גדול",E94="מתחם רב-אולמי",I94&gt;=2,D94="מרכז",D94="שרון",D94="ירושלים והסביבה"),"גבוה","בינוני")</f>
        <v>בינוני</v>
      </c>
    </row>
    <row r="95" customFormat="false" ht="15" hidden="false" customHeight="false" outlineLevel="0" collapsed="false">
      <c r="B95" s="37" t="n">
        <v>79</v>
      </c>
      <c r="C95" s="38" t="s">
        <v>385</v>
      </c>
      <c r="D95" s="30" t="s">
        <v>343</v>
      </c>
      <c r="E95" s="30" t="s">
        <v>168</v>
      </c>
      <c r="F95" s="30" t="s">
        <v>144</v>
      </c>
      <c r="G95" s="38"/>
      <c r="H95" s="38"/>
      <c r="I95" s="37" t="n">
        <v>1</v>
      </c>
      <c r="J95" s="38" t="s">
        <v>386</v>
      </c>
      <c r="K95" s="38"/>
      <c r="L95" s="38" t="s">
        <v>345</v>
      </c>
      <c r="M95" s="38" t="str">
        <f aca="false">IF(OR(E95="אולם חתונות גדול",E95="מתחם רב-אולמי",I95&gt;=2,D95="מרכז",D95="שרון",D95="ירושלים והסביבה"),"גבוה","בינוני")</f>
        <v>בינוני</v>
      </c>
    </row>
    <row r="96" customFormat="false" ht="15" hidden="false" customHeight="false" outlineLevel="0" collapsed="false">
      <c r="B96" s="39" t="n">
        <v>80</v>
      </c>
      <c r="C96" s="32" t="s">
        <v>387</v>
      </c>
      <c r="D96" s="32" t="s">
        <v>388</v>
      </c>
      <c r="E96" s="32" t="s">
        <v>282</v>
      </c>
      <c r="F96" s="32" t="s">
        <v>142</v>
      </c>
      <c r="G96" s="40"/>
      <c r="H96" s="40"/>
      <c r="I96" s="39" t="n">
        <v>1</v>
      </c>
      <c r="J96" s="40" t="s">
        <v>389</v>
      </c>
      <c r="K96" s="40"/>
      <c r="L96" s="40" t="s">
        <v>390</v>
      </c>
      <c r="M96" s="40" t="str">
        <f aca="false">IF(OR(E96="אולם חתונות גדול",E96="מתחם רב-אולמי",I96&gt;=2,D96="מרכז",D96="שרון",D96="ירושלים והסביבה"),"גבוה","בינוני")</f>
        <v>בינוני</v>
      </c>
    </row>
    <row r="97" customFormat="false" ht="15" hidden="false" customHeight="false" outlineLevel="0" collapsed="false">
      <c r="B97" s="37" t="n">
        <v>81</v>
      </c>
      <c r="C97" s="30" t="s">
        <v>391</v>
      </c>
      <c r="D97" s="30" t="s">
        <v>388</v>
      </c>
      <c r="E97" s="30" t="s">
        <v>282</v>
      </c>
      <c r="F97" s="30" t="s">
        <v>142</v>
      </c>
      <c r="G97" s="38"/>
      <c r="H97" s="38"/>
      <c r="I97" s="37" t="n">
        <v>1</v>
      </c>
      <c r="J97" s="38" t="s">
        <v>392</v>
      </c>
      <c r="K97" s="38"/>
      <c r="L97" s="38" t="s">
        <v>390</v>
      </c>
      <c r="M97" s="38" t="str">
        <f aca="false">IF(OR(E97="אולם חתונות גדול",E97="מתחם רב-אולמי",I97&gt;=2,D97="מרכז",D97="שרון",D97="ירושלים והסביבה"),"גבוה","בינוני")</f>
        <v>בינוני</v>
      </c>
    </row>
    <row r="98" customFormat="false" ht="15" hidden="false" customHeight="false" outlineLevel="0" collapsed="false">
      <c r="B98" s="39" t="n">
        <v>82</v>
      </c>
      <c r="C98" s="32" t="s">
        <v>393</v>
      </c>
      <c r="D98" s="32" t="s">
        <v>388</v>
      </c>
      <c r="E98" s="32" t="s">
        <v>282</v>
      </c>
      <c r="F98" s="32" t="s">
        <v>142</v>
      </c>
      <c r="G98" s="40"/>
      <c r="H98" s="40"/>
      <c r="I98" s="39" t="n">
        <v>1</v>
      </c>
      <c r="J98" s="40" t="s">
        <v>394</v>
      </c>
      <c r="K98" s="40"/>
      <c r="L98" s="40" t="s">
        <v>390</v>
      </c>
      <c r="M98" s="40" t="str">
        <f aca="false">IF(OR(E98="אולם חתונות גדול",E98="מתחם רב-אולמי",I98&gt;=2,D98="מרכז",D98="שרון",D98="ירושלים והסביבה"),"גבוה","בינוני")</f>
        <v>בינוני</v>
      </c>
    </row>
    <row r="99" customFormat="false" ht="15" hidden="false" customHeight="false" outlineLevel="0" collapsed="false">
      <c r="B99" s="37" t="n">
        <v>83</v>
      </c>
      <c r="C99" s="30" t="s">
        <v>395</v>
      </c>
      <c r="D99" s="30" t="s">
        <v>388</v>
      </c>
      <c r="E99" s="30" t="s">
        <v>282</v>
      </c>
      <c r="F99" s="30" t="s">
        <v>142</v>
      </c>
      <c r="G99" s="38"/>
      <c r="H99" s="38"/>
      <c r="I99" s="37" t="n">
        <v>1</v>
      </c>
      <c r="J99" s="38" t="s">
        <v>396</v>
      </c>
      <c r="K99" s="38"/>
      <c r="L99" s="38" t="s">
        <v>390</v>
      </c>
      <c r="M99" s="38" t="str">
        <f aca="false">IF(OR(E99="אולם חתונות גדול",E99="מתחם רב-אולמי",I99&gt;=2,D99="מרכז",D99="שרון",D99="ירושלים והסביבה"),"גבוה","בינוני")</f>
        <v>בינוני</v>
      </c>
    </row>
    <row r="100" customFormat="false" ht="15" hidden="false" customHeight="false" outlineLevel="0" collapsed="false">
      <c r="B100" s="39" t="n">
        <v>84</v>
      </c>
      <c r="C100" s="32" t="s">
        <v>397</v>
      </c>
      <c r="D100" s="32" t="s">
        <v>388</v>
      </c>
      <c r="E100" s="32" t="s">
        <v>282</v>
      </c>
      <c r="F100" s="32" t="s">
        <v>143</v>
      </c>
      <c r="G100" s="40"/>
      <c r="H100" s="40"/>
      <c r="I100" s="39" t="n">
        <v>1</v>
      </c>
      <c r="J100" s="40" t="s">
        <v>398</v>
      </c>
      <c r="K100" s="40"/>
      <c r="L100" s="40" t="s">
        <v>390</v>
      </c>
      <c r="M100" s="40" t="str">
        <f aca="false">IF(OR(E100="אולם חתונות גדול",E100="מתחם רב-אולמי",I100&gt;=2,D100="מרכז",D100="שרון",D100="ירושלים והסביבה"),"גבוה","בינוני")</f>
        <v>בינוני</v>
      </c>
    </row>
    <row r="101" customFormat="false" ht="15" hidden="false" customHeight="false" outlineLevel="0" collapsed="false">
      <c r="B101" s="37" t="n">
        <v>85</v>
      </c>
      <c r="C101" s="30" t="s">
        <v>399</v>
      </c>
      <c r="D101" s="30" t="s">
        <v>388</v>
      </c>
      <c r="E101" s="30" t="s">
        <v>282</v>
      </c>
      <c r="F101" s="30" t="s">
        <v>142</v>
      </c>
      <c r="G101" s="38"/>
      <c r="H101" s="38"/>
      <c r="I101" s="37" t="n">
        <v>1</v>
      </c>
      <c r="J101" s="38" t="s">
        <v>400</v>
      </c>
      <c r="K101" s="38"/>
      <c r="L101" s="38" t="s">
        <v>390</v>
      </c>
      <c r="M101" s="38" t="str">
        <f aca="false">IF(OR(E101="אולם חתונות גדול",E101="מתחם רב-אולמי",I101&gt;=2,D101="מרכז",D101="שרון",D101="ירושלים והסביבה"),"גבוה","בינוני")</f>
        <v>בינוני</v>
      </c>
    </row>
    <row r="102" customFormat="false" ht="15" hidden="false" customHeight="false" outlineLevel="0" collapsed="false">
      <c r="B102" s="39" t="n">
        <v>86</v>
      </c>
      <c r="C102" s="32" t="s">
        <v>401</v>
      </c>
      <c r="D102" s="32" t="s">
        <v>388</v>
      </c>
      <c r="E102" s="32" t="s">
        <v>282</v>
      </c>
      <c r="F102" s="32" t="s">
        <v>145</v>
      </c>
      <c r="G102" s="40"/>
      <c r="H102" s="40"/>
      <c r="I102" s="39" t="n">
        <v>1</v>
      </c>
      <c r="J102" s="40" t="s">
        <v>402</v>
      </c>
      <c r="K102" s="40"/>
      <c r="L102" s="40" t="s">
        <v>390</v>
      </c>
      <c r="M102" s="40" t="str">
        <f aca="false">IF(OR(E102="אולם חתונות גדול",E102="מתחם רב-אולמי",I102&gt;=2,D102="מרכז",D102="שרון",D102="ירושלים והסביבה"),"גבוה","בינוני")</f>
        <v>בינוני</v>
      </c>
    </row>
    <row r="103" customFormat="false" ht="15" hidden="false" customHeight="false" outlineLevel="0" collapsed="false">
      <c r="B103" s="37" t="n">
        <v>87</v>
      </c>
      <c r="C103" s="30" t="s">
        <v>403</v>
      </c>
      <c r="D103" s="30" t="s">
        <v>388</v>
      </c>
      <c r="E103" s="30" t="s">
        <v>282</v>
      </c>
      <c r="F103" s="30" t="s">
        <v>143</v>
      </c>
      <c r="G103" s="38"/>
      <c r="H103" s="38"/>
      <c r="I103" s="37" t="n">
        <v>1</v>
      </c>
      <c r="J103" s="38" t="s">
        <v>404</v>
      </c>
      <c r="K103" s="38"/>
      <c r="L103" s="38" t="s">
        <v>390</v>
      </c>
      <c r="M103" s="38" t="str">
        <f aca="false">IF(OR(E103="אולם חתונות גדול",E103="מתחם רב-אולמי",I103&gt;=2,D103="מרכז",D103="שרון",D103="ירושלים והסביבה"),"גבוה","בינוני")</f>
        <v>בינוני</v>
      </c>
    </row>
    <row r="104" customFormat="false" ht="15" hidden="false" customHeight="false" outlineLevel="0" collapsed="false">
      <c r="B104" s="39" t="n">
        <v>88</v>
      </c>
      <c r="C104" s="32" t="s">
        <v>405</v>
      </c>
      <c r="D104" s="32" t="s">
        <v>388</v>
      </c>
      <c r="E104" s="32" t="s">
        <v>282</v>
      </c>
      <c r="F104" s="32" t="s">
        <v>144</v>
      </c>
      <c r="G104" s="40"/>
      <c r="H104" s="40"/>
      <c r="I104" s="39" t="n">
        <v>1</v>
      </c>
      <c r="J104" s="40" t="s">
        <v>406</v>
      </c>
      <c r="K104" s="40"/>
      <c r="L104" s="40" t="s">
        <v>390</v>
      </c>
      <c r="M104" s="40" t="str">
        <f aca="false">IF(OR(E104="אולם חתונות גדול",E104="מתחם רב-אולמי",I104&gt;=2,D104="מרכז",D104="שרון",D104="ירושלים והסביבה"),"גבוה","בינוני")</f>
        <v>בינוני</v>
      </c>
    </row>
    <row r="105" customFormat="false" ht="15" hidden="false" customHeight="false" outlineLevel="0" collapsed="false">
      <c r="B105" s="37" t="n">
        <v>89</v>
      </c>
      <c r="C105" s="30" t="s">
        <v>407</v>
      </c>
      <c r="D105" s="30" t="s">
        <v>388</v>
      </c>
      <c r="E105" s="30" t="s">
        <v>282</v>
      </c>
      <c r="F105" s="30" t="s">
        <v>142</v>
      </c>
      <c r="G105" s="38"/>
      <c r="H105" s="38"/>
      <c r="I105" s="37" t="n">
        <v>1</v>
      </c>
      <c r="J105" s="38" t="s">
        <v>408</v>
      </c>
      <c r="K105" s="38"/>
      <c r="L105" s="38" t="s">
        <v>390</v>
      </c>
      <c r="M105" s="38" t="str">
        <f aca="false">IF(OR(E105="אולם חתונות גדול",E105="מתחם רב-אולמי",I105&gt;=2,D105="מרכז",D105="שרון",D105="ירושלים והסביבה"),"גבוה","בינוני")</f>
        <v>בינוני</v>
      </c>
    </row>
    <row r="106" customFormat="false" ht="15" hidden="false" customHeight="false" outlineLevel="0" collapsed="false">
      <c r="B106" s="39" t="n">
        <v>90</v>
      </c>
      <c r="C106" s="32" t="s">
        <v>409</v>
      </c>
      <c r="D106" s="32" t="s">
        <v>388</v>
      </c>
      <c r="E106" s="32" t="s">
        <v>282</v>
      </c>
      <c r="F106" s="32" t="s">
        <v>143</v>
      </c>
      <c r="G106" s="40" t="s">
        <v>410</v>
      </c>
      <c r="H106" s="32" t="s">
        <v>180</v>
      </c>
      <c r="I106" s="39" t="n">
        <v>1</v>
      </c>
      <c r="J106" s="40" t="s">
        <v>411</v>
      </c>
      <c r="K106" s="40"/>
      <c r="L106" s="40" t="s">
        <v>390</v>
      </c>
      <c r="M106" s="40" t="str">
        <f aca="false">IF(OR(E106="אולם חתונות גדול",E106="מתחם רב-אולמי",I106&gt;=2,D106="מרכז",D106="שרון",D106="ירושלים והסביבה"),"גבוה","בינוני")</f>
        <v>בינוני</v>
      </c>
    </row>
    <row r="107" customFormat="false" ht="15" hidden="false" customHeight="false" outlineLevel="0" collapsed="false">
      <c r="B107" s="37" t="n">
        <v>91</v>
      </c>
      <c r="C107" s="30" t="s">
        <v>412</v>
      </c>
      <c r="D107" s="30" t="s">
        <v>388</v>
      </c>
      <c r="E107" s="30" t="s">
        <v>282</v>
      </c>
      <c r="F107" s="30" t="s">
        <v>146</v>
      </c>
      <c r="G107" s="38"/>
      <c r="H107" s="38"/>
      <c r="I107" s="37" t="n">
        <v>1</v>
      </c>
      <c r="J107" s="38" t="s">
        <v>413</v>
      </c>
      <c r="K107" s="38"/>
      <c r="L107" s="38" t="s">
        <v>390</v>
      </c>
      <c r="M107" s="38" t="str">
        <f aca="false">IF(OR(E107="אולם חתונות גדול",E107="מתחם רב-אולמי",I107&gt;=2,D107="מרכז",D107="שרון",D107="ירושלים והסביבה"),"גבוה","בינוני")</f>
        <v>בינוני</v>
      </c>
    </row>
    <row r="108" customFormat="false" ht="15" hidden="false" customHeight="false" outlineLevel="0" collapsed="false">
      <c r="B108" s="39" t="n">
        <v>92</v>
      </c>
      <c r="C108" s="32" t="s">
        <v>414</v>
      </c>
      <c r="D108" s="32" t="s">
        <v>388</v>
      </c>
      <c r="E108" s="32" t="s">
        <v>282</v>
      </c>
      <c r="F108" s="32" t="s">
        <v>142</v>
      </c>
      <c r="G108" s="40"/>
      <c r="H108" s="40"/>
      <c r="I108" s="39" t="n">
        <v>1</v>
      </c>
      <c r="J108" s="40" t="s">
        <v>415</v>
      </c>
      <c r="K108" s="40"/>
      <c r="L108" s="40" t="s">
        <v>390</v>
      </c>
      <c r="M108" s="40" t="str">
        <f aca="false">IF(OR(E108="אולם חתונות גדול",E108="מתחם רב-אולמי",I108&gt;=2,D108="מרכז",D108="שרון",D108="ירושלים והסביבה"),"גבוה","בינוני")</f>
        <v>בינוני</v>
      </c>
    </row>
    <row r="109" customFormat="false" ht="15" hidden="false" customHeight="false" outlineLevel="0" collapsed="false">
      <c r="B109" s="37" t="n">
        <v>93</v>
      </c>
      <c r="C109" s="30" t="s">
        <v>416</v>
      </c>
      <c r="D109" s="30" t="s">
        <v>388</v>
      </c>
      <c r="E109" s="30" t="s">
        <v>282</v>
      </c>
      <c r="F109" s="30" t="s">
        <v>145</v>
      </c>
      <c r="G109" s="38"/>
      <c r="H109" s="38"/>
      <c r="I109" s="37" t="n">
        <v>1</v>
      </c>
      <c r="J109" s="38" t="s">
        <v>417</v>
      </c>
      <c r="K109" s="38"/>
      <c r="L109" s="38" t="s">
        <v>390</v>
      </c>
      <c r="M109" s="38" t="str">
        <f aca="false">IF(OR(E109="אולם חתונות גדול",E109="מתחם רב-אולמי",I109&gt;=2,D109="מרכז",D109="שרון",D109="ירושלים והסביבה"),"גבוה","בינוני")</f>
        <v>בינוני</v>
      </c>
    </row>
    <row r="110" customFormat="false" ht="15" hidden="false" customHeight="false" outlineLevel="0" collapsed="false">
      <c r="B110" s="39" t="n">
        <v>94</v>
      </c>
      <c r="C110" s="32" t="s">
        <v>418</v>
      </c>
      <c r="D110" s="32" t="s">
        <v>388</v>
      </c>
      <c r="E110" s="32" t="s">
        <v>282</v>
      </c>
      <c r="F110" s="32" t="s">
        <v>142</v>
      </c>
      <c r="G110" s="40"/>
      <c r="H110" s="40"/>
      <c r="I110" s="39" t="n">
        <v>1</v>
      </c>
      <c r="J110" s="40" t="s">
        <v>419</v>
      </c>
      <c r="K110" s="40"/>
      <c r="L110" s="40" t="s">
        <v>390</v>
      </c>
      <c r="M110" s="40" t="str">
        <f aca="false">IF(OR(E110="אולם חתונות גדול",E110="מתחם רב-אולמי",I110&gt;=2,D110="מרכז",D110="שרון",D110="ירושלים והסביבה"),"גבוה","בינוני")</f>
        <v>בינוני</v>
      </c>
    </row>
    <row r="111" customFormat="false" ht="15" hidden="false" customHeight="false" outlineLevel="0" collapsed="false">
      <c r="B111" s="37" t="n">
        <v>95</v>
      </c>
      <c r="C111" s="30" t="s">
        <v>420</v>
      </c>
      <c r="D111" s="30" t="s">
        <v>388</v>
      </c>
      <c r="E111" s="30" t="s">
        <v>282</v>
      </c>
      <c r="F111" s="30" t="s">
        <v>143</v>
      </c>
      <c r="G111" s="38"/>
      <c r="H111" s="38"/>
      <c r="I111" s="37" t="n">
        <v>1</v>
      </c>
      <c r="J111" s="38" t="s">
        <v>421</v>
      </c>
      <c r="K111" s="38"/>
      <c r="L111" s="38" t="s">
        <v>390</v>
      </c>
      <c r="M111" s="38" t="str">
        <f aca="false">IF(OR(E111="אולם חתונות גדול",E111="מתחם רב-אולמי",I111&gt;=2,D111="מרכז",D111="שרון",D111="ירושלים והסביבה"),"גבוה","בינוני")</f>
        <v>בינוני</v>
      </c>
    </row>
    <row r="112" customFormat="false" ht="15" hidden="false" customHeight="false" outlineLevel="0" collapsed="false">
      <c r="B112" s="39" t="n">
        <v>96</v>
      </c>
      <c r="C112" s="32" t="s">
        <v>422</v>
      </c>
      <c r="D112" s="32" t="s">
        <v>388</v>
      </c>
      <c r="E112" s="32" t="s">
        <v>282</v>
      </c>
      <c r="F112" s="32" t="s">
        <v>142</v>
      </c>
      <c r="G112" s="40"/>
      <c r="H112" s="40"/>
      <c r="I112" s="39" t="n">
        <v>1</v>
      </c>
      <c r="J112" s="40" t="s">
        <v>423</v>
      </c>
      <c r="K112" s="40"/>
      <c r="L112" s="40" t="s">
        <v>390</v>
      </c>
      <c r="M112" s="40" t="str">
        <f aca="false">IF(OR(E112="אולם חתונות גדול",E112="מתחם רב-אולמי",I112&gt;=2,D112="מרכז",D112="שרון",D112="ירושלים והסביבה"),"גבוה","בינוני")</f>
        <v>בינוני</v>
      </c>
    </row>
    <row r="113" customFormat="false" ht="15" hidden="false" customHeight="false" outlineLevel="0" collapsed="false">
      <c r="B113" s="37" t="n">
        <v>97</v>
      </c>
      <c r="C113" s="30" t="s">
        <v>424</v>
      </c>
      <c r="D113" s="30" t="s">
        <v>388</v>
      </c>
      <c r="E113" s="30" t="s">
        <v>282</v>
      </c>
      <c r="F113" s="30" t="s">
        <v>142</v>
      </c>
      <c r="G113" s="38"/>
      <c r="H113" s="38"/>
      <c r="I113" s="37" t="n">
        <v>1</v>
      </c>
      <c r="J113" s="38" t="s">
        <v>425</v>
      </c>
      <c r="K113" s="38"/>
      <c r="L113" s="38" t="s">
        <v>390</v>
      </c>
      <c r="M113" s="38" t="str">
        <f aca="false">IF(OR(E113="אולם חתונות גדול",E113="מתחם רב-אולמי",I113&gt;=2,D113="מרכז",D113="שרון",D113="ירושלים והסביבה"),"גבוה","בינוני")</f>
        <v>בינוני</v>
      </c>
    </row>
    <row r="114" customFormat="false" ht="15" hidden="false" customHeight="false" outlineLevel="0" collapsed="false">
      <c r="B114" s="39" t="n">
        <v>98</v>
      </c>
      <c r="C114" s="32" t="s">
        <v>426</v>
      </c>
      <c r="D114" s="32" t="s">
        <v>388</v>
      </c>
      <c r="E114" s="32" t="s">
        <v>282</v>
      </c>
      <c r="F114" s="32" t="s">
        <v>142</v>
      </c>
      <c r="G114" s="40" t="s">
        <v>427</v>
      </c>
      <c r="H114" s="32" t="s">
        <v>180</v>
      </c>
      <c r="I114" s="39" t="n">
        <v>1</v>
      </c>
      <c r="J114" s="40" t="s">
        <v>428</v>
      </c>
      <c r="K114" s="40"/>
      <c r="L114" s="40" t="s">
        <v>390</v>
      </c>
      <c r="M114" s="40" t="str">
        <f aca="false">IF(OR(E114="אולם חתונות גדול",E114="מתחם רב-אולמי",I114&gt;=2,D114="מרכז",D114="שרון",D114="ירושלים והסביבה"),"גבוה","בינוני")</f>
        <v>בינוני</v>
      </c>
    </row>
    <row r="115" customFormat="false" ht="15" hidden="false" customHeight="false" outlineLevel="0" collapsed="false">
      <c r="B115" s="37" t="n">
        <v>99</v>
      </c>
      <c r="C115" s="30" t="s">
        <v>429</v>
      </c>
      <c r="D115" s="30" t="s">
        <v>388</v>
      </c>
      <c r="E115" s="30" t="s">
        <v>282</v>
      </c>
      <c r="F115" s="30" t="s">
        <v>143</v>
      </c>
      <c r="G115" s="38"/>
      <c r="H115" s="38"/>
      <c r="I115" s="37" t="n">
        <v>1</v>
      </c>
      <c r="J115" s="38" t="s">
        <v>430</v>
      </c>
      <c r="K115" s="38"/>
      <c r="L115" s="38" t="s">
        <v>390</v>
      </c>
      <c r="M115" s="38" t="str">
        <f aca="false">IF(OR(E115="אולם חתונות גדול",E115="מתחם רב-אולמי",I115&gt;=2,D115="מרכז",D115="שרון",D115="ירושלים והסביבה"),"גבוה","בינוני")</f>
        <v>בינוני</v>
      </c>
    </row>
    <row r="116" customFormat="false" ht="15" hidden="false" customHeight="false" outlineLevel="0" collapsed="false">
      <c r="B116" s="39" t="n">
        <v>100</v>
      </c>
      <c r="C116" s="32" t="s">
        <v>431</v>
      </c>
      <c r="D116" s="32" t="s">
        <v>388</v>
      </c>
      <c r="E116" s="32" t="s">
        <v>282</v>
      </c>
      <c r="F116" s="32" t="s">
        <v>143</v>
      </c>
      <c r="G116" s="40"/>
      <c r="H116" s="40"/>
      <c r="I116" s="39" t="n">
        <v>1</v>
      </c>
      <c r="J116" s="40" t="s">
        <v>432</v>
      </c>
      <c r="K116" s="40"/>
      <c r="L116" s="40" t="s">
        <v>390</v>
      </c>
      <c r="M116" s="40" t="str">
        <f aca="false">IF(OR(E116="אולם חתונות גדול",E116="מתחם רב-אולמי",I116&gt;=2,D116="מרכז",D116="שרון",D116="ירושלים והסביבה"),"גבוה","בינוני")</f>
        <v>בינוני</v>
      </c>
    </row>
    <row r="117" customFormat="false" ht="15" hidden="false" customHeight="false" outlineLevel="0" collapsed="false">
      <c r="B117" s="37" t="n">
        <v>101</v>
      </c>
      <c r="C117" s="30" t="s">
        <v>433</v>
      </c>
      <c r="D117" s="30" t="s">
        <v>388</v>
      </c>
      <c r="E117" s="30" t="s">
        <v>282</v>
      </c>
      <c r="F117" s="30" t="s">
        <v>142</v>
      </c>
      <c r="G117" s="38"/>
      <c r="H117" s="38"/>
      <c r="I117" s="37" t="n">
        <v>1</v>
      </c>
      <c r="J117" s="38" t="s">
        <v>434</v>
      </c>
      <c r="K117" s="38"/>
      <c r="L117" s="38" t="s">
        <v>390</v>
      </c>
      <c r="M117" s="38" t="str">
        <f aca="false">IF(OR(E117="אולם חתונות גדול",E117="מתחם רב-אולמי",I117&gt;=2,D117="מרכז",D117="שרון",D117="ירושלים והסביבה"),"גבוה","בינוני")</f>
        <v>בינוני</v>
      </c>
    </row>
    <row r="118" customFormat="false" ht="15" hidden="false" customHeight="false" outlineLevel="0" collapsed="false">
      <c r="B118" s="39" t="n">
        <v>102</v>
      </c>
      <c r="C118" s="32" t="s">
        <v>435</v>
      </c>
      <c r="D118" s="32" t="s">
        <v>436</v>
      </c>
      <c r="E118" s="32" t="s">
        <v>188</v>
      </c>
      <c r="F118" s="32" t="s">
        <v>145</v>
      </c>
      <c r="G118" s="40" t="s">
        <v>184</v>
      </c>
      <c r="H118" s="32" t="s">
        <v>180</v>
      </c>
      <c r="I118" s="39" t="n">
        <v>3</v>
      </c>
      <c r="J118" s="40" t="s">
        <v>437</v>
      </c>
      <c r="K118" s="40"/>
      <c r="L118" s="40" t="s">
        <v>438</v>
      </c>
      <c r="M118" s="40" t="str">
        <f aca="false">IF(OR(E118="אולם חתונות גדול",E118="מתחם רב-אולמי",I118&gt;=2,D118="מרכז",D118="שרון",D118="ירושלים והסביבה"),"גבוה","בינוני")</f>
        <v>גבוה</v>
      </c>
    </row>
    <row r="119" customFormat="false" ht="15" hidden="false" customHeight="false" outlineLevel="0" collapsed="false">
      <c r="B119" s="37" t="n">
        <v>103</v>
      </c>
      <c r="C119" s="30" t="s">
        <v>439</v>
      </c>
      <c r="D119" s="30" t="s">
        <v>436</v>
      </c>
      <c r="E119" s="30" t="s">
        <v>188</v>
      </c>
      <c r="F119" s="30" t="s">
        <v>145</v>
      </c>
      <c r="G119" s="38" t="s">
        <v>246</v>
      </c>
      <c r="H119" s="30" t="s">
        <v>180</v>
      </c>
      <c r="I119" s="37" t="n">
        <v>3</v>
      </c>
      <c r="J119" s="38" t="s">
        <v>437</v>
      </c>
      <c r="K119" s="38"/>
      <c r="L119" s="38" t="s">
        <v>438</v>
      </c>
      <c r="M119" s="38" t="str">
        <f aca="false">IF(OR(E119="אולם חתונות גדול",E119="מתחם רב-אולמי",I119&gt;=2,D119="מרכז",D119="שרון",D119="ירושלים והסביבה"),"גבוה","בינוני")</f>
        <v>גבוה</v>
      </c>
    </row>
    <row r="120" customFormat="false" ht="23.85" hidden="false" customHeight="false" outlineLevel="0" collapsed="false">
      <c r="B120" s="39" t="n">
        <v>104</v>
      </c>
      <c r="C120" s="32" t="s">
        <v>440</v>
      </c>
      <c r="D120" s="32" t="s">
        <v>441</v>
      </c>
      <c r="E120" s="32" t="s">
        <v>188</v>
      </c>
      <c r="F120" s="32" t="s">
        <v>148</v>
      </c>
      <c r="G120" s="40" t="s">
        <v>184</v>
      </c>
      <c r="H120" s="32" t="s">
        <v>180</v>
      </c>
      <c r="I120" s="39" t="n">
        <v>1</v>
      </c>
      <c r="J120" s="40"/>
      <c r="K120" s="40"/>
      <c r="L120" s="40" t="s">
        <v>442</v>
      </c>
      <c r="M120" s="40" t="str">
        <f aca="false">IF(OR(E120="אולם חתונות גדול",E120="מתחם רב-אולמי",I120&gt;=2,D120="מרכז",D120="שרון",D120="ירושלים והסביבה"),"גבוה","בינוני")</f>
        <v>בינוני</v>
      </c>
    </row>
    <row r="121" customFormat="false" ht="15" hidden="false" customHeight="false" outlineLevel="0" collapsed="false">
      <c r="B121" s="37" t="n">
        <v>105</v>
      </c>
      <c r="C121" s="30" t="s">
        <v>443</v>
      </c>
      <c r="D121" s="30" t="s">
        <v>436</v>
      </c>
      <c r="E121" s="30" t="s">
        <v>188</v>
      </c>
      <c r="F121" s="30" t="s">
        <v>143</v>
      </c>
      <c r="G121" s="38"/>
      <c r="H121" s="38"/>
      <c r="I121" s="37" t="n">
        <v>1</v>
      </c>
      <c r="J121" s="38"/>
      <c r="K121" s="38"/>
      <c r="L121" s="38" t="s">
        <v>444</v>
      </c>
      <c r="M121" s="38" t="str">
        <f aca="false">IF(OR(E121="אולם חתונות גדול",E121="מתחם רב-אולמי",I121&gt;=2,D121="מרכז",D121="שרון",D121="ירושלים והסביבה"),"גבוה","בינוני")</f>
        <v>בינוני</v>
      </c>
    </row>
    <row r="122" customFormat="false" ht="23.85" hidden="false" customHeight="false" outlineLevel="0" collapsed="false">
      <c r="B122" s="39" t="n">
        <v>106</v>
      </c>
      <c r="C122" s="32" t="s">
        <v>445</v>
      </c>
      <c r="D122" s="32" t="s">
        <v>446</v>
      </c>
      <c r="E122" s="32" t="s">
        <v>188</v>
      </c>
      <c r="F122" s="32" t="s">
        <v>148</v>
      </c>
      <c r="G122" s="40"/>
      <c r="H122" s="40"/>
      <c r="I122" s="39" t="n">
        <v>1</v>
      </c>
      <c r="J122" s="40"/>
      <c r="K122" s="40"/>
      <c r="L122" s="40" t="s">
        <v>444</v>
      </c>
      <c r="M122" s="40" t="str">
        <f aca="false">IF(OR(E122="אולם חתונות גדול",E122="מתחם רב-אולמי",I122&gt;=2,D122="מרכז",D122="שרון",D122="ירושלים והסביבה"),"גבוה","בינוני")</f>
        <v>בינוני</v>
      </c>
    </row>
    <row r="123" customFormat="false" ht="23.85" hidden="false" customHeight="false" outlineLevel="0" collapsed="false">
      <c r="B123" s="37" t="n">
        <v>107</v>
      </c>
      <c r="C123" s="30" t="s">
        <v>447</v>
      </c>
      <c r="D123" s="30" t="s">
        <v>448</v>
      </c>
      <c r="E123" s="30" t="s">
        <v>188</v>
      </c>
      <c r="F123" s="30" t="s">
        <v>143</v>
      </c>
      <c r="G123" s="38" t="s">
        <v>449</v>
      </c>
      <c r="H123" s="30" t="s">
        <v>180</v>
      </c>
      <c r="I123" s="37" t="n">
        <v>1</v>
      </c>
      <c r="J123" s="38"/>
      <c r="K123" s="38"/>
      <c r="L123" s="38" t="s">
        <v>444</v>
      </c>
      <c r="M123" s="38" t="str">
        <f aca="false">IF(OR(E123="אולם חתונות גדול",E123="מתחם רב-אולמי",I123&gt;=2,D123="מרכז",D123="שרון",D123="ירושלים והסביבה"),"גבוה","בינוני")</f>
        <v>בינוני</v>
      </c>
    </row>
    <row r="124" customFormat="false" ht="15" hidden="false" customHeight="false" outlineLevel="0" collapsed="false">
      <c r="B124" s="39" t="n">
        <v>108</v>
      </c>
      <c r="C124" s="32" t="s">
        <v>450</v>
      </c>
      <c r="D124" s="32" t="s">
        <v>436</v>
      </c>
      <c r="E124" s="32" t="s">
        <v>188</v>
      </c>
      <c r="F124" s="32" t="s">
        <v>144</v>
      </c>
      <c r="G124" s="40" t="s">
        <v>451</v>
      </c>
      <c r="H124" s="32" t="s">
        <v>180</v>
      </c>
      <c r="I124" s="39" t="n">
        <v>1</v>
      </c>
      <c r="J124" s="40"/>
      <c r="K124" s="40"/>
      <c r="L124" s="40" t="s">
        <v>444</v>
      </c>
      <c r="M124" s="40" t="str">
        <f aca="false">IF(OR(E124="אולם חתונות גדול",E124="מתחם רב-אולמי",I124&gt;=2,D124="מרכז",D124="שרון",D124="ירושלים והסביבה"),"גבוה","בינוני")</f>
        <v>בינוני</v>
      </c>
    </row>
    <row r="125" customFormat="false" ht="15" hidden="false" customHeight="false" outlineLevel="0" collapsed="false">
      <c r="B125" s="37" t="n">
        <v>109</v>
      </c>
      <c r="C125" s="30" t="s">
        <v>452</v>
      </c>
      <c r="D125" s="30" t="s">
        <v>436</v>
      </c>
      <c r="E125" s="30" t="s">
        <v>188</v>
      </c>
      <c r="F125" s="30" t="s">
        <v>144</v>
      </c>
      <c r="G125" s="38" t="s">
        <v>453</v>
      </c>
      <c r="H125" s="30" t="s">
        <v>180</v>
      </c>
      <c r="I125" s="37" t="n">
        <v>1</v>
      </c>
      <c r="J125" s="38"/>
      <c r="K125" s="38"/>
      <c r="L125" s="38" t="s">
        <v>444</v>
      </c>
      <c r="M125" s="38" t="str">
        <f aca="false">IF(OR(E125="אולם חתונות גדול",E125="מתחם רב-אולמי",I125&gt;=2,D125="מרכז",D125="שרון",D125="ירושלים והסביבה"),"גבוה","בינוני")</f>
        <v>בינוני</v>
      </c>
    </row>
    <row r="126" customFormat="false" ht="15" hidden="false" customHeight="false" outlineLevel="0" collapsed="false">
      <c r="B126" s="39" t="n">
        <v>110</v>
      </c>
      <c r="C126" s="32" t="s">
        <v>454</v>
      </c>
      <c r="D126" s="32" t="s">
        <v>187</v>
      </c>
      <c r="E126" s="32" t="s">
        <v>188</v>
      </c>
      <c r="F126" s="32" t="s">
        <v>145</v>
      </c>
      <c r="G126" s="40" t="s">
        <v>184</v>
      </c>
      <c r="H126" s="32" t="s">
        <v>180</v>
      </c>
      <c r="I126" s="39" t="n">
        <v>4</v>
      </c>
      <c r="J126" s="40" t="s">
        <v>455</v>
      </c>
      <c r="K126" s="40"/>
      <c r="L126" s="40" t="s">
        <v>456</v>
      </c>
      <c r="M126" s="40" t="str">
        <f aca="false">IF(OR(E126="אולם חתונות גדול",E126="מתחם רב-אולמי",I126&gt;=2,D126="מרכז",D126="שרון",D126="ירושלים והסביבה"),"גבוה","בינוני")</f>
        <v>גבוה</v>
      </c>
    </row>
    <row r="127" customFormat="false" ht="15" hidden="false" customHeight="false" outlineLevel="0" collapsed="false">
      <c r="B127" s="37" t="n">
        <v>111</v>
      </c>
      <c r="C127" s="30" t="s">
        <v>457</v>
      </c>
      <c r="D127" s="30" t="s">
        <v>187</v>
      </c>
      <c r="E127" s="30" t="s">
        <v>188</v>
      </c>
      <c r="F127" s="30" t="s">
        <v>145</v>
      </c>
      <c r="G127" s="38"/>
      <c r="H127" s="38"/>
      <c r="I127" s="37" t="n">
        <v>2</v>
      </c>
      <c r="J127" s="38"/>
      <c r="K127" s="38"/>
      <c r="L127" s="38" t="s">
        <v>458</v>
      </c>
      <c r="M127" s="38" t="str">
        <f aca="false">IF(OR(E127="אולם חתונות גדול",E127="מתחם רב-אולמי",I127&gt;=2,D127="מרכז",D127="שרון",D127="ירושלים והסביבה"),"גבוה","בינוני")</f>
        <v>גבוה</v>
      </c>
    </row>
    <row r="128" customFormat="false" ht="15" hidden="false" customHeight="false" outlineLevel="0" collapsed="false">
      <c r="B128" s="39" t="n">
        <v>112</v>
      </c>
      <c r="C128" s="32" t="s">
        <v>459</v>
      </c>
      <c r="D128" s="32" t="s">
        <v>460</v>
      </c>
      <c r="E128" s="32" t="s">
        <v>188</v>
      </c>
      <c r="F128" s="32" t="s">
        <v>143</v>
      </c>
      <c r="G128" s="40" t="s">
        <v>189</v>
      </c>
      <c r="H128" s="32" t="s">
        <v>180</v>
      </c>
      <c r="I128" s="39" t="n">
        <v>1</v>
      </c>
      <c r="J128" s="40" t="s">
        <v>461</v>
      </c>
      <c r="K128" s="40"/>
      <c r="L128" s="40" t="s">
        <v>462</v>
      </c>
      <c r="M128" s="40" t="str">
        <f aca="false">IF(OR(E128="אולם חתונות גדול",E128="מתחם רב-אולמי",I128&gt;=2,D128="מרכז",D128="שרון",D128="ירושלים והסביבה"),"גבוה","בינוני")</f>
        <v>בינוני</v>
      </c>
    </row>
    <row r="129" customFormat="false" ht="15" hidden="false" customHeight="false" outlineLevel="0" collapsed="false">
      <c r="B129" s="37" t="n">
        <v>113</v>
      </c>
      <c r="C129" s="30" t="s">
        <v>463</v>
      </c>
      <c r="D129" s="30" t="s">
        <v>464</v>
      </c>
      <c r="E129" s="30" t="s">
        <v>179</v>
      </c>
      <c r="F129" s="30" t="s">
        <v>144</v>
      </c>
      <c r="G129" s="38" t="s">
        <v>465</v>
      </c>
      <c r="H129" s="30" t="s">
        <v>180</v>
      </c>
      <c r="I129" s="37" t="n">
        <v>1</v>
      </c>
      <c r="J129" s="38"/>
      <c r="K129" s="38"/>
      <c r="L129" s="38" t="s">
        <v>462</v>
      </c>
      <c r="M129" s="38" t="str">
        <f aca="false">IF(OR(E129="אולם חתונות גדול",E129="מתחם רב-אולמי",I129&gt;=2,D129="מרכז",D129="שרון",D129="ירושלים והסביבה"),"גבוה","בינוני")</f>
        <v>בינוני</v>
      </c>
    </row>
    <row r="130" customFormat="false" ht="23.85" hidden="false" customHeight="false" outlineLevel="0" collapsed="false">
      <c r="B130" s="39" t="n">
        <v>114</v>
      </c>
      <c r="C130" s="32" t="s">
        <v>466</v>
      </c>
      <c r="D130" s="32" t="s">
        <v>178</v>
      </c>
      <c r="E130" s="32" t="s">
        <v>179</v>
      </c>
      <c r="F130" s="32" t="s">
        <v>148</v>
      </c>
      <c r="G130" s="40" t="s">
        <v>467</v>
      </c>
      <c r="H130" s="32" t="s">
        <v>180</v>
      </c>
      <c r="I130" s="39" t="n">
        <v>1</v>
      </c>
      <c r="J130" s="40" t="s">
        <v>468</v>
      </c>
      <c r="K130" s="40"/>
      <c r="L130" s="40" t="s">
        <v>462</v>
      </c>
      <c r="M130" s="40" t="str">
        <f aca="false">IF(OR(E130="אולם חתונות גדול",E130="מתחם רב-אולמי",I130&gt;=2,D130="מרכז",D130="שרון",D130="ירושלים והסביבה"),"גבוה","בינוני")</f>
        <v>בינוני</v>
      </c>
    </row>
    <row r="131" customFormat="false" ht="15" hidden="false" customHeight="false" outlineLevel="0" collapsed="false">
      <c r="B131" s="37" t="n">
        <v>115</v>
      </c>
      <c r="C131" s="30" t="s">
        <v>469</v>
      </c>
      <c r="D131" s="30" t="s">
        <v>470</v>
      </c>
      <c r="E131" s="30" t="s">
        <v>188</v>
      </c>
      <c r="F131" s="30" t="s">
        <v>142</v>
      </c>
      <c r="G131" s="38" t="s">
        <v>471</v>
      </c>
      <c r="H131" s="30" t="s">
        <v>180</v>
      </c>
      <c r="I131" s="37" t="n">
        <v>1</v>
      </c>
      <c r="J131" s="38"/>
      <c r="K131" s="38"/>
      <c r="L131" s="38" t="s">
        <v>462</v>
      </c>
      <c r="M131" s="38" t="str">
        <f aca="false">IF(OR(E131="אולם חתונות גדול",E131="מתחם רב-אולמי",I131&gt;=2,D131="מרכז",D131="שרון",D131="ירושלים והסביבה"),"גבוה","בינוני")</f>
        <v>בינוני</v>
      </c>
    </row>
    <row r="132" customFormat="false" ht="15" hidden="false" customHeight="false" outlineLevel="0" collapsed="false">
      <c r="B132" s="39" t="n">
        <v>116</v>
      </c>
      <c r="C132" s="32" t="s">
        <v>472</v>
      </c>
      <c r="D132" s="32" t="s">
        <v>473</v>
      </c>
      <c r="E132" s="32" t="s">
        <v>188</v>
      </c>
      <c r="F132" s="32" t="s">
        <v>144</v>
      </c>
      <c r="G132" s="40" t="s">
        <v>474</v>
      </c>
      <c r="H132" s="32" t="s">
        <v>180</v>
      </c>
      <c r="I132" s="39" t="n">
        <v>1</v>
      </c>
      <c r="J132" s="40"/>
      <c r="K132" s="40"/>
      <c r="L132" s="40" t="s">
        <v>462</v>
      </c>
      <c r="M132" s="40" t="str">
        <f aca="false">IF(OR(E132="אולם חתונות גדול",E132="מתחם רב-אולמי",I132&gt;=2,D132="מרכז",D132="שרון",D132="ירושלים והסביבה"),"גבוה","בינוני")</f>
        <v>בינוני</v>
      </c>
    </row>
    <row r="133" customFormat="false" ht="15" hidden="false" customHeight="false" outlineLevel="0" collapsed="false">
      <c r="B133" s="37" t="n">
        <v>117</v>
      </c>
      <c r="C133" s="30" t="s">
        <v>475</v>
      </c>
      <c r="D133" s="30" t="s">
        <v>187</v>
      </c>
      <c r="E133" s="30" t="s">
        <v>188</v>
      </c>
      <c r="F133" s="30" t="s">
        <v>142</v>
      </c>
      <c r="G133" s="38"/>
      <c r="H133" s="38"/>
      <c r="I133" s="37" t="n">
        <v>1</v>
      </c>
      <c r="J133" s="38" t="s">
        <v>476</v>
      </c>
      <c r="K133" s="38"/>
      <c r="L133" s="38" t="s">
        <v>462</v>
      </c>
      <c r="M133" s="38" t="str">
        <f aca="false">IF(OR(E133="אולם חתונות גדול",E133="מתחם רב-אולמי",I133&gt;=2,D133="מרכז",D133="שרון",D133="ירושלים והסביבה"),"גבוה","בינוני")</f>
        <v>בינוני</v>
      </c>
    </row>
    <row r="134" customFormat="false" ht="15" hidden="false" customHeight="false" outlineLevel="0" collapsed="false">
      <c r="B134" s="39" t="n">
        <v>118</v>
      </c>
      <c r="C134" s="32" t="s">
        <v>477</v>
      </c>
      <c r="D134" s="32" t="s">
        <v>187</v>
      </c>
      <c r="E134" s="32" t="s">
        <v>188</v>
      </c>
      <c r="F134" s="32" t="s">
        <v>144</v>
      </c>
      <c r="G134" s="40"/>
      <c r="H134" s="40"/>
      <c r="I134" s="39" t="n">
        <v>1</v>
      </c>
      <c r="J134" s="40"/>
      <c r="K134" s="40"/>
      <c r="L134" s="40" t="s">
        <v>478</v>
      </c>
      <c r="M134" s="40" t="str">
        <f aca="false">IF(OR(E134="אולם חתונות גדול",E134="מתחם רב-אולמי",I134&gt;=2,D134="מרכז",D134="שרון",D134="ירושלים והסביבה"),"גבוה","בינוני")</f>
        <v>בינוני</v>
      </c>
    </row>
    <row r="135" customFormat="false" ht="15" hidden="false" customHeight="false" outlineLevel="0" collapsed="false">
      <c r="B135" s="37" t="n">
        <v>119</v>
      </c>
      <c r="C135" s="30" t="s">
        <v>479</v>
      </c>
      <c r="D135" s="30" t="s">
        <v>187</v>
      </c>
      <c r="E135" s="30" t="s">
        <v>188</v>
      </c>
      <c r="F135" s="30" t="s">
        <v>142</v>
      </c>
      <c r="G135" s="38" t="s">
        <v>246</v>
      </c>
      <c r="H135" s="30" t="s">
        <v>180</v>
      </c>
      <c r="I135" s="37" t="n">
        <v>1</v>
      </c>
      <c r="J135" s="38" t="s">
        <v>455</v>
      </c>
      <c r="K135" s="38"/>
      <c r="L135" s="38" t="s">
        <v>456</v>
      </c>
      <c r="M135" s="38" t="str">
        <f aca="false">IF(OR(E135="אולם חתונות גדול",E135="מתחם רב-אולמי",I135&gt;=2,D135="מרכז",D135="שרון",D135="ירושלים והסביבה"),"גבוה","בינוני")</f>
        <v>בינוני</v>
      </c>
    </row>
    <row r="136" customFormat="false" ht="15" hidden="false" customHeight="false" outlineLevel="0" collapsed="false">
      <c r="B136" s="39" t="n">
        <v>120</v>
      </c>
      <c r="C136" s="32" t="s">
        <v>480</v>
      </c>
      <c r="D136" s="32" t="s">
        <v>187</v>
      </c>
      <c r="E136" s="32" t="s">
        <v>188</v>
      </c>
      <c r="F136" s="32" t="s">
        <v>145</v>
      </c>
      <c r="G136" s="40"/>
      <c r="H136" s="40"/>
      <c r="I136" s="39" t="n">
        <v>3</v>
      </c>
      <c r="J136" s="40"/>
      <c r="K136" s="40"/>
      <c r="L136" s="40" t="s">
        <v>481</v>
      </c>
      <c r="M136" s="40" t="str">
        <f aca="false">IF(OR(E136="אולם חתונות גדול",E136="מתחם רב-אולמי",I136&gt;=2,D136="מרכז",D136="שרון",D136="ירושלים והסביבה"),"גבוה","בינוני")</f>
        <v>גבוה</v>
      </c>
    </row>
    <row r="137" customFormat="false" ht="15" hidden="false" customHeight="false" outlineLevel="0" collapsed="false">
      <c r="B137" s="37" t="n">
        <v>121</v>
      </c>
      <c r="C137" s="30" t="s">
        <v>482</v>
      </c>
      <c r="D137" s="30" t="s">
        <v>483</v>
      </c>
      <c r="E137" s="30" t="s">
        <v>188</v>
      </c>
      <c r="F137" s="30" t="s">
        <v>142</v>
      </c>
      <c r="G137" s="38"/>
      <c r="H137" s="38"/>
      <c r="I137" s="37" t="n">
        <v>1</v>
      </c>
      <c r="J137" s="38"/>
      <c r="K137" s="38"/>
      <c r="L137" s="38" t="s">
        <v>481</v>
      </c>
      <c r="M137" s="38" t="str">
        <f aca="false">IF(OR(E137="אולם חתונות גדול",E137="מתחם רב-אולמי",I137&gt;=2,D137="מרכז",D137="שרון",D137="ירושלים והסביבה"),"גבוה","בינוני")</f>
        <v>בינוני</v>
      </c>
    </row>
    <row r="138" customFormat="false" ht="15" hidden="false" customHeight="false" outlineLevel="0" collapsed="false">
      <c r="B138" s="39" t="n">
        <v>122</v>
      </c>
      <c r="C138" s="32" t="s">
        <v>484</v>
      </c>
      <c r="D138" s="32" t="s">
        <v>485</v>
      </c>
      <c r="E138" s="32" t="s">
        <v>188</v>
      </c>
      <c r="F138" s="32" t="s">
        <v>142</v>
      </c>
      <c r="G138" s="40"/>
      <c r="H138" s="40"/>
      <c r="I138" s="39" t="n">
        <v>1</v>
      </c>
      <c r="J138" s="40"/>
      <c r="K138" s="40"/>
      <c r="L138" s="40" t="s">
        <v>481</v>
      </c>
      <c r="M138" s="40" t="str">
        <f aca="false">IF(OR(E138="אולם חתונות גדול",E138="מתחם רב-אולמי",I138&gt;=2,D138="מרכז",D138="שרון",D138="ירושלים והסביבה"),"גבוה","בינוני")</f>
        <v>בינוני</v>
      </c>
    </row>
    <row r="139" customFormat="false" ht="15" hidden="false" customHeight="false" outlineLevel="0" collapsed="false">
      <c r="B139" s="37" t="n">
        <v>123</v>
      </c>
      <c r="C139" s="30" t="s">
        <v>486</v>
      </c>
      <c r="D139" s="30" t="s">
        <v>187</v>
      </c>
      <c r="E139" s="30" t="s">
        <v>188</v>
      </c>
      <c r="F139" s="30" t="s">
        <v>145</v>
      </c>
      <c r="G139" s="38" t="s">
        <v>487</v>
      </c>
      <c r="H139" s="30" t="s">
        <v>180</v>
      </c>
      <c r="I139" s="37" t="n">
        <v>2</v>
      </c>
      <c r="J139" s="38"/>
      <c r="K139" s="38"/>
      <c r="L139" s="38" t="s">
        <v>481</v>
      </c>
      <c r="M139" s="38" t="str">
        <f aca="false">IF(OR(E139="אולם חתונות גדול",E139="מתחם רב-אולמי",I139&gt;=2,D139="מרכז",D139="שרון",D139="ירושלים והסביבה"),"גבוה","בינוני")</f>
        <v>גבוה</v>
      </c>
    </row>
    <row r="140" customFormat="false" ht="15" hidden="false" customHeight="false" outlineLevel="0" collapsed="false">
      <c r="B140" s="39" t="n">
        <v>124</v>
      </c>
      <c r="C140" s="32" t="s">
        <v>488</v>
      </c>
      <c r="D140" s="32" t="s">
        <v>187</v>
      </c>
      <c r="E140" s="32" t="s">
        <v>188</v>
      </c>
      <c r="F140" s="32" t="s">
        <v>146</v>
      </c>
      <c r="G140" s="40"/>
      <c r="H140" s="40"/>
      <c r="I140" s="39" t="n">
        <v>1</v>
      </c>
      <c r="J140" s="40"/>
      <c r="K140" s="40"/>
      <c r="L140" s="40" t="s">
        <v>481</v>
      </c>
      <c r="M140" s="40" t="str">
        <f aca="false">IF(OR(E140="אולם חתונות גדול",E140="מתחם רב-אולמי",I140&gt;=2,D140="מרכז",D140="שרון",D140="ירושלים והסביבה"),"גבוה","בינוני")</f>
        <v>בינוני</v>
      </c>
    </row>
    <row r="141" customFormat="false" ht="15" hidden="false" customHeight="false" outlineLevel="0" collapsed="false">
      <c r="B141" s="37" t="n">
        <v>125</v>
      </c>
      <c r="C141" s="30" t="s">
        <v>489</v>
      </c>
      <c r="D141" s="30" t="s">
        <v>187</v>
      </c>
      <c r="E141" s="30" t="s">
        <v>188</v>
      </c>
      <c r="F141" s="30" t="s">
        <v>143</v>
      </c>
      <c r="G141" s="38"/>
      <c r="H141" s="38"/>
      <c r="I141" s="37" t="n">
        <v>1</v>
      </c>
      <c r="J141" s="38"/>
      <c r="K141" s="38"/>
      <c r="L141" s="38" t="s">
        <v>481</v>
      </c>
      <c r="M141" s="38" t="str">
        <f aca="false">IF(OR(E141="אולם חתונות גדול",E141="מתחם רב-אולמי",I141&gt;=2,D141="מרכז",D141="שרון",D141="ירושלים והסביבה"),"גבוה","בינוני")</f>
        <v>בינוני</v>
      </c>
    </row>
    <row r="142" customFormat="false" ht="15" hidden="false" customHeight="false" outlineLevel="0" collapsed="false">
      <c r="B142" s="39" t="n">
        <v>126</v>
      </c>
      <c r="C142" s="40" t="s">
        <v>490</v>
      </c>
      <c r="D142" s="32" t="s">
        <v>187</v>
      </c>
      <c r="E142" s="32" t="s">
        <v>188</v>
      </c>
      <c r="F142" s="32" t="s">
        <v>146</v>
      </c>
      <c r="G142" s="40"/>
      <c r="H142" s="40"/>
      <c r="I142" s="39" t="n">
        <v>1</v>
      </c>
      <c r="J142" s="40"/>
      <c r="K142" s="40"/>
      <c r="L142" s="40" t="s">
        <v>444</v>
      </c>
      <c r="M142" s="40" t="str">
        <f aca="false">IF(OR(E142="אולם חתונות גדול",E142="מתחם רב-אולמי",I142&gt;=2,D142="מרכז",D142="שרון",D142="ירושלים והסביבה"),"גבוה","בינוני")</f>
        <v>בינוני</v>
      </c>
    </row>
    <row r="143" customFormat="false" ht="23.85" hidden="false" customHeight="false" outlineLevel="0" collapsed="false">
      <c r="B143" s="37" t="n">
        <v>127</v>
      </c>
      <c r="C143" s="30" t="s">
        <v>491</v>
      </c>
      <c r="D143" s="30" t="s">
        <v>187</v>
      </c>
      <c r="E143" s="30" t="s">
        <v>188</v>
      </c>
      <c r="F143" s="30" t="s">
        <v>148</v>
      </c>
      <c r="G143" s="38"/>
      <c r="H143" s="38"/>
      <c r="I143" s="37" t="n">
        <v>1</v>
      </c>
      <c r="J143" s="38"/>
      <c r="K143" s="38"/>
      <c r="L143" s="38" t="s">
        <v>444</v>
      </c>
      <c r="M143" s="38" t="str">
        <f aca="false">IF(OR(E143="אולם חתונות גדול",E143="מתחם רב-אולמי",I143&gt;=2,D143="מרכז",D143="שרון",D143="ירושלים והסביבה"),"גבוה","בינוני")</f>
        <v>בינוני</v>
      </c>
    </row>
    <row r="144" customFormat="false" ht="15" hidden="false" customHeight="false" outlineLevel="0" collapsed="false">
      <c r="B144" s="39" t="n">
        <v>128</v>
      </c>
      <c r="C144" s="40" t="s">
        <v>492</v>
      </c>
      <c r="D144" s="32" t="s">
        <v>187</v>
      </c>
      <c r="E144" s="32" t="s">
        <v>188</v>
      </c>
      <c r="F144" s="32" t="s">
        <v>144</v>
      </c>
      <c r="G144" s="40"/>
      <c r="H144" s="40"/>
      <c r="I144" s="39" t="n">
        <v>1</v>
      </c>
      <c r="J144" s="40"/>
      <c r="K144" s="40"/>
      <c r="L144" s="40" t="s">
        <v>444</v>
      </c>
      <c r="M144" s="40" t="str">
        <f aca="false">IF(OR(E144="אולם חתונות גדול",E144="מתחם רב-אולמי",I144&gt;=2,D144="מרכז",D144="שרון",D144="ירושלים והסביבה"),"גבוה","בינוני")</f>
        <v>בינוני</v>
      </c>
    </row>
    <row r="145" customFormat="false" ht="15" hidden="false" customHeight="false" outlineLevel="0" collapsed="false">
      <c r="B145" s="37" t="n">
        <v>129</v>
      </c>
      <c r="C145" s="30" t="s">
        <v>493</v>
      </c>
      <c r="D145" s="30" t="s">
        <v>281</v>
      </c>
      <c r="E145" s="30" t="s">
        <v>282</v>
      </c>
      <c r="F145" s="30" t="s">
        <v>144</v>
      </c>
      <c r="G145" s="38" t="s">
        <v>451</v>
      </c>
      <c r="H145" s="30" t="s">
        <v>180</v>
      </c>
      <c r="I145" s="37" t="n">
        <v>1</v>
      </c>
      <c r="J145" s="38"/>
      <c r="K145" s="38"/>
      <c r="L145" s="38" t="s">
        <v>494</v>
      </c>
      <c r="M145" s="38" t="str">
        <f aca="false">IF(OR(E145="אולם חתונות גדול",E145="מתחם רב-אולמי",I145&gt;=2,D145="מרכז",D145="שרון",D145="ירושלים והסביבה"),"גבוה","בינוני")</f>
        <v>בינוני</v>
      </c>
    </row>
    <row r="146" customFormat="false" ht="15" hidden="false" customHeight="false" outlineLevel="0" collapsed="false">
      <c r="B146" s="39" t="n">
        <v>130</v>
      </c>
      <c r="C146" s="32" t="s">
        <v>495</v>
      </c>
      <c r="D146" s="32" t="s">
        <v>281</v>
      </c>
      <c r="E146" s="32" t="s">
        <v>282</v>
      </c>
      <c r="F146" s="32" t="s">
        <v>144</v>
      </c>
      <c r="G146" s="40" t="s">
        <v>467</v>
      </c>
      <c r="H146" s="32" t="s">
        <v>180</v>
      </c>
      <c r="I146" s="39" t="n">
        <v>1</v>
      </c>
      <c r="J146" s="40"/>
      <c r="K146" s="40"/>
      <c r="L146" s="40" t="s">
        <v>494</v>
      </c>
      <c r="M146" s="40" t="str">
        <f aca="false">IF(OR(E146="אולם חתונות גדול",E146="מתחם רב-אולמי",I146&gt;=2,D146="מרכז",D146="שרון",D146="ירושלים והסביבה"),"גבוה","בינוני")</f>
        <v>בינוני</v>
      </c>
    </row>
    <row r="147" customFormat="false" ht="15" hidden="false" customHeight="false" outlineLevel="0" collapsed="false">
      <c r="B147" s="37" t="n">
        <v>131</v>
      </c>
      <c r="C147" s="30" t="s">
        <v>496</v>
      </c>
      <c r="D147" s="30" t="s">
        <v>281</v>
      </c>
      <c r="E147" s="30" t="s">
        <v>282</v>
      </c>
      <c r="F147" s="30" t="s">
        <v>142</v>
      </c>
      <c r="G147" s="38"/>
      <c r="H147" s="38"/>
      <c r="I147" s="37" t="n">
        <v>1</v>
      </c>
      <c r="J147" s="38"/>
      <c r="K147" s="38"/>
      <c r="L147" s="38" t="s">
        <v>494</v>
      </c>
      <c r="M147" s="38" t="str">
        <f aca="false">IF(OR(E147="אולם חתונות גדול",E147="מתחם רב-אולמי",I147&gt;=2,D147="מרכז",D147="שרון",D147="ירושלים והסביבה"),"גבוה","בינוני")</f>
        <v>בינוני</v>
      </c>
    </row>
    <row r="148" customFormat="false" ht="23.85" hidden="false" customHeight="false" outlineLevel="0" collapsed="false">
      <c r="B148" s="39" t="n">
        <v>132</v>
      </c>
      <c r="C148" s="32" t="s">
        <v>497</v>
      </c>
      <c r="D148" s="32" t="s">
        <v>281</v>
      </c>
      <c r="E148" s="32" t="s">
        <v>282</v>
      </c>
      <c r="F148" s="32" t="s">
        <v>148</v>
      </c>
      <c r="G148" s="40"/>
      <c r="H148" s="40"/>
      <c r="I148" s="39" t="n">
        <v>1</v>
      </c>
      <c r="J148" s="40"/>
      <c r="K148" s="40"/>
      <c r="L148" s="40" t="s">
        <v>494</v>
      </c>
      <c r="M148" s="40" t="str">
        <f aca="false">IF(OR(E148="אולם חתונות גדול",E148="מתחם רב-אולמי",I148&gt;=2,D148="מרכז",D148="שרון",D148="ירושלים והסביבה"),"גבוה","בינוני")</f>
        <v>בינוני</v>
      </c>
    </row>
    <row r="149" customFormat="false" ht="15" hidden="false" customHeight="false" outlineLevel="0" collapsed="false">
      <c r="B149" s="37" t="n">
        <v>133</v>
      </c>
      <c r="C149" s="30" t="s">
        <v>498</v>
      </c>
      <c r="D149" s="30" t="s">
        <v>285</v>
      </c>
      <c r="E149" s="30" t="s">
        <v>163</v>
      </c>
      <c r="F149" s="30" t="s">
        <v>143</v>
      </c>
      <c r="G149" s="38"/>
      <c r="H149" s="38"/>
      <c r="I149" s="37" t="n">
        <v>1</v>
      </c>
      <c r="J149" s="38"/>
      <c r="K149" s="38"/>
      <c r="L149" s="38" t="s">
        <v>494</v>
      </c>
      <c r="M149" s="38" t="str">
        <f aca="false">IF(OR(E149="אולם חתונות גדול",E149="מתחם רב-אולמי",I149&gt;=2,D149="מרכז",D149="שרון",D149="ירושלים והסביבה"),"גבוה","בינוני")</f>
        <v>בינוני</v>
      </c>
    </row>
    <row r="150" customFormat="false" ht="15" hidden="false" customHeight="false" outlineLevel="0" collapsed="false">
      <c r="B150" s="39" t="n">
        <v>134</v>
      </c>
      <c r="C150" s="32" t="s">
        <v>499</v>
      </c>
      <c r="D150" s="32" t="s">
        <v>285</v>
      </c>
      <c r="E150" s="32" t="s">
        <v>163</v>
      </c>
      <c r="F150" s="32" t="s">
        <v>143</v>
      </c>
      <c r="G150" s="40"/>
      <c r="H150" s="40"/>
      <c r="I150" s="39" t="n">
        <v>1</v>
      </c>
      <c r="J150" s="40"/>
      <c r="K150" s="40"/>
      <c r="L150" s="40" t="s">
        <v>494</v>
      </c>
      <c r="M150" s="40" t="str">
        <f aca="false">IF(OR(E150="אולם חתונות גדול",E150="מתחם רב-אולמי",I150&gt;=2,D150="מרכז",D150="שרון",D150="ירושלים והסביבה"),"גבוה","בינוני")</f>
        <v>בינוני</v>
      </c>
    </row>
    <row r="151" customFormat="false" ht="15" hidden="false" customHeight="false" outlineLevel="0" collapsed="false">
      <c r="B151" s="37" t="n">
        <v>135</v>
      </c>
      <c r="C151" s="30" t="s">
        <v>500</v>
      </c>
      <c r="D151" s="30" t="s">
        <v>281</v>
      </c>
      <c r="E151" s="30" t="s">
        <v>282</v>
      </c>
      <c r="F151" s="30" t="s">
        <v>146</v>
      </c>
      <c r="G151" s="38"/>
      <c r="H151" s="38"/>
      <c r="I151" s="37" t="n">
        <v>1</v>
      </c>
      <c r="J151" s="38"/>
      <c r="K151" s="38"/>
      <c r="L151" s="38" t="s">
        <v>501</v>
      </c>
      <c r="M151" s="38" t="str">
        <f aca="false">IF(OR(E151="אולם חתונות גדול",E151="מתחם רב-אולמי",I151&gt;=2,D151="מרכז",D151="שרון",D151="ירושלים והסביבה"),"גבוה","בינוני")</f>
        <v>בינוני</v>
      </c>
    </row>
    <row r="152" customFormat="false" ht="15" hidden="false" customHeight="false" outlineLevel="0" collapsed="false">
      <c r="B152" s="39" t="n">
        <v>136</v>
      </c>
      <c r="C152" s="32" t="s">
        <v>502</v>
      </c>
      <c r="D152" s="32" t="s">
        <v>356</v>
      </c>
      <c r="E152" s="32" t="s">
        <v>282</v>
      </c>
      <c r="F152" s="32" t="s">
        <v>142</v>
      </c>
      <c r="G152" s="40"/>
      <c r="H152" s="40"/>
      <c r="I152" s="39" t="n">
        <v>1</v>
      </c>
      <c r="J152" s="40"/>
      <c r="K152" s="40"/>
      <c r="L152" s="40" t="s">
        <v>501</v>
      </c>
      <c r="M152" s="40" t="str">
        <f aca="false">IF(OR(E152="אולם חתונות גדול",E152="מתחם רב-אולמי",I152&gt;=2,D152="מרכז",D152="שרון",D152="ירושלים והסביבה"),"גבוה","בינוני")</f>
        <v>בינוני</v>
      </c>
    </row>
    <row r="153" customFormat="false" ht="23.85" hidden="false" customHeight="false" outlineLevel="0" collapsed="false">
      <c r="B153" s="37" t="n">
        <v>137</v>
      </c>
      <c r="C153" s="30" t="s">
        <v>503</v>
      </c>
      <c r="D153" s="30" t="s">
        <v>504</v>
      </c>
      <c r="E153" s="30" t="s">
        <v>175</v>
      </c>
      <c r="F153" s="30" t="s">
        <v>148</v>
      </c>
      <c r="G153" s="38"/>
      <c r="H153" s="38"/>
      <c r="I153" s="37" t="n">
        <v>1</v>
      </c>
      <c r="J153" s="38"/>
      <c r="K153" s="38"/>
      <c r="L153" s="38" t="s">
        <v>501</v>
      </c>
      <c r="M153" s="38" t="str">
        <f aca="false">IF(OR(E153="אולם חתונות גדול",E153="מתחם רב-אולמי",I153&gt;=2,D153="מרכז",D153="שרון",D153="ירושלים והסביבה"),"גבוה","בינוני")</f>
        <v>בינוני</v>
      </c>
    </row>
    <row r="154" customFormat="false" ht="15" hidden="false" customHeight="false" outlineLevel="0" collapsed="false">
      <c r="B154" s="39" t="n">
        <v>138</v>
      </c>
      <c r="C154" s="32" t="s">
        <v>505</v>
      </c>
      <c r="D154" s="32" t="s">
        <v>323</v>
      </c>
      <c r="E154" s="32" t="s">
        <v>175</v>
      </c>
      <c r="F154" s="32" t="s">
        <v>147</v>
      </c>
      <c r="G154" s="40"/>
      <c r="H154" s="40"/>
      <c r="I154" s="39" t="n">
        <v>1</v>
      </c>
      <c r="J154" s="40"/>
      <c r="K154" s="40"/>
      <c r="L154" s="40" t="s">
        <v>501</v>
      </c>
      <c r="M154" s="40" t="str">
        <f aca="false">IF(OR(E154="אולם חתונות גדול",E154="מתחם רב-אולמי",I154&gt;=2,D154="מרכז",D154="שרון",D154="ירושלים והסביבה"),"גבוה","בינוני")</f>
        <v>בינוני</v>
      </c>
    </row>
    <row r="155" customFormat="false" ht="15" hidden="false" customHeight="false" outlineLevel="0" collapsed="false">
      <c r="B155" s="37" t="n">
        <v>139</v>
      </c>
      <c r="C155" s="38" t="s">
        <v>506</v>
      </c>
      <c r="D155" s="30" t="s">
        <v>304</v>
      </c>
      <c r="E155" s="30" t="s">
        <v>179</v>
      </c>
      <c r="F155" s="30" t="s">
        <v>142</v>
      </c>
      <c r="G155" s="38"/>
      <c r="H155" s="38"/>
      <c r="I155" s="37" t="n">
        <v>1</v>
      </c>
      <c r="J155" s="38"/>
      <c r="K155" s="38"/>
      <c r="L155" s="38" t="s">
        <v>501</v>
      </c>
      <c r="M155" s="38" t="str">
        <f aca="false">IF(OR(E155="אולם חתונות גדול",E155="מתחם רב-אולמי",I155&gt;=2,D155="מרכז",D155="שרון",D155="ירושלים והסביבה"),"גבוה","בינוני")</f>
        <v>בינוני</v>
      </c>
    </row>
    <row r="156" customFormat="false" ht="15" hidden="false" customHeight="false" outlineLevel="0" collapsed="false">
      <c r="B156" s="39" t="n">
        <v>140</v>
      </c>
      <c r="C156" s="32" t="s">
        <v>507</v>
      </c>
      <c r="D156" s="32" t="s">
        <v>304</v>
      </c>
      <c r="E156" s="32" t="s">
        <v>179</v>
      </c>
      <c r="F156" s="32" t="s">
        <v>143</v>
      </c>
      <c r="G156" s="40" t="s">
        <v>487</v>
      </c>
      <c r="H156" s="32" t="s">
        <v>180</v>
      </c>
      <c r="I156" s="39" t="n">
        <v>1</v>
      </c>
      <c r="J156" s="40"/>
      <c r="K156" s="40"/>
      <c r="L156" s="40" t="s">
        <v>501</v>
      </c>
      <c r="M156" s="40" t="str">
        <f aca="false">IF(OR(E156="אולם חתונות גדול",E156="מתחם רב-אולמי",I156&gt;=2,D156="מרכז",D156="שרון",D156="ירושלים והסביבה"),"גבוה","בינוני")</f>
        <v>בינוני</v>
      </c>
    </row>
    <row r="157" customFormat="false" ht="15" hidden="false" customHeight="false" outlineLevel="0" collapsed="false">
      <c r="B157" s="37" t="n">
        <v>141</v>
      </c>
      <c r="C157" s="30" t="s">
        <v>508</v>
      </c>
      <c r="D157" s="30" t="s">
        <v>304</v>
      </c>
      <c r="E157" s="30" t="s">
        <v>179</v>
      </c>
      <c r="F157" s="30" t="s">
        <v>143</v>
      </c>
      <c r="G157" s="38" t="s">
        <v>184</v>
      </c>
      <c r="H157" s="30" t="s">
        <v>180</v>
      </c>
      <c r="I157" s="37" t="n">
        <v>1</v>
      </c>
      <c r="J157" s="38"/>
      <c r="K157" s="38"/>
      <c r="L157" s="38" t="s">
        <v>501</v>
      </c>
      <c r="M157" s="38" t="str">
        <f aca="false">IF(OR(E157="אולם חתונות גדול",E157="מתחם רב-אולמי",I157&gt;=2,D157="מרכז",D157="שרון",D157="ירושלים והסביבה"),"גבוה","בינוני")</f>
        <v>בינוני</v>
      </c>
    </row>
    <row r="158" customFormat="false" ht="15" hidden="false" customHeight="false" outlineLevel="0" collapsed="false">
      <c r="B158" s="39" t="n">
        <v>142</v>
      </c>
      <c r="C158" s="32" t="s">
        <v>509</v>
      </c>
      <c r="D158" s="32" t="s">
        <v>304</v>
      </c>
      <c r="E158" s="32" t="s">
        <v>179</v>
      </c>
      <c r="F158" s="32" t="s">
        <v>143</v>
      </c>
      <c r="G158" s="40"/>
      <c r="H158" s="40"/>
      <c r="I158" s="39" t="n">
        <v>1</v>
      </c>
      <c r="J158" s="40"/>
      <c r="K158" s="40"/>
      <c r="L158" s="40" t="s">
        <v>501</v>
      </c>
      <c r="M158" s="40" t="str">
        <f aca="false">IF(OR(E158="אולם חתונות גדול",E158="מתחם רב-אולמי",I158&gt;=2,D158="מרכז",D158="שרון",D158="ירושלים והסביבה"),"גבוה","בינוני")</f>
        <v>בינוני</v>
      </c>
    </row>
    <row r="159" customFormat="false" ht="15" hidden="false" customHeight="false" outlineLevel="0" collapsed="false">
      <c r="B159" s="37" t="n">
        <v>143</v>
      </c>
      <c r="C159" s="30" t="s">
        <v>510</v>
      </c>
      <c r="D159" s="30" t="s">
        <v>511</v>
      </c>
      <c r="E159" s="30" t="s">
        <v>179</v>
      </c>
      <c r="F159" s="30" t="s">
        <v>143</v>
      </c>
      <c r="G159" s="38" t="s">
        <v>474</v>
      </c>
      <c r="H159" s="30" t="s">
        <v>180</v>
      </c>
      <c r="I159" s="37" t="n">
        <v>1</v>
      </c>
      <c r="J159" s="38"/>
      <c r="K159" s="38"/>
      <c r="L159" s="38" t="s">
        <v>501</v>
      </c>
      <c r="M159" s="38" t="str">
        <f aca="false">IF(OR(E159="אולם חתונות גדול",E159="מתחם רב-אולמי",I159&gt;=2,D159="מרכז",D159="שרון",D159="ירושלים והסביבה"),"גבוה","בינוני")</f>
        <v>בינוני</v>
      </c>
    </row>
    <row r="160" customFormat="false" ht="15" hidden="false" customHeight="false" outlineLevel="0" collapsed="false">
      <c r="B160" s="39" t="n">
        <v>144</v>
      </c>
      <c r="C160" s="32" t="s">
        <v>512</v>
      </c>
      <c r="D160" s="32" t="s">
        <v>221</v>
      </c>
      <c r="E160" s="32" t="s">
        <v>179</v>
      </c>
      <c r="F160" s="32" t="s">
        <v>143</v>
      </c>
      <c r="G160" s="40"/>
      <c r="H160" s="40"/>
      <c r="I160" s="39" t="n">
        <v>1</v>
      </c>
      <c r="J160" s="40"/>
      <c r="K160" s="40"/>
      <c r="L160" s="40" t="s">
        <v>501</v>
      </c>
      <c r="M160" s="40" t="str">
        <f aca="false">IF(OR(E160="אולם חתונות גדול",E160="מתחם רב-אולמי",I160&gt;=2,D160="מרכז",D160="שרון",D160="ירושלים והסביבה"),"גבוה","בינוני")</f>
        <v>בינוני</v>
      </c>
    </row>
    <row r="161" customFormat="false" ht="15" hidden="false" customHeight="false" outlineLevel="0" collapsed="false">
      <c r="B161" s="37" t="n">
        <v>145</v>
      </c>
      <c r="C161" s="38" t="s">
        <v>513</v>
      </c>
      <c r="D161" s="30" t="s">
        <v>187</v>
      </c>
      <c r="E161" s="30" t="s">
        <v>188</v>
      </c>
      <c r="F161" s="30" t="s">
        <v>142</v>
      </c>
      <c r="G161" s="38"/>
      <c r="H161" s="38"/>
      <c r="I161" s="37" t="n">
        <v>1</v>
      </c>
      <c r="J161" s="38"/>
      <c r="K161" s="38"/>
      <c r="L161" s="38" t="s">
        <v>501</v>
      </c>
      <c r="M161" s="38" t="str">
        <f aca="false">IF(OR(E161="אולם חתונות גדול",E161="מתחם רב-אולמי",I161&gt;=2,D161="מרכז",D161="שרון",D161="ירושלים והסביבה"),"גבוה","בינוני")</f>
        <v>בינוני</v>
      </c>
    </row>
    <row r="162" customFormat="false" ht="15" hidden="false" customHeight="false" outlineLevel="0" collapsed="false">
      <c r="B162" s="39" t="n">
        <v>146</v>
      </c>
      <c r="C162" s="32" t="s">
        <v>514</v>
      </c>
      <c r="D162" s="32" t="s">
        <v>215</v>
      </c>
      <c r="E162" s="32" t="s">
        <v>179</v>
      </c>
      <c r="F162" s="32" t="s">
        <v>143</v>
      </c>
      <c r="G162" s="40"/>
      <c r="H162" s="40"/>
      <c r="I162" s="39" t="n">
        <v>1</v>
      </c>
      <c r="J162" s="40"/>
      <c r="K162" s="40"/>
      <c r="L162" s="40" t="s">
        <v>501</v>
      </c>
      <c r="M162" s="40" t="str">
        <f aca="false">IF(OR(E162="אולם חתונות גדול",E162="מתחם רב-אולמי",I162&gt;=2,D162="מרכז",D162="שרון",D162="ירושלים והסביבה"),"גבוה","בינוני")</f>
        <v>בינוני</v>
      </c>
    </row>
    <row r="163" customFormat="false" ht="15" hidden="false" customHeight="false" outlineLevel="0" collapsed="false">
      <c r="B163" s="37" t="n">
        <v>147</v>
      </c>
      <c r="C163" s="30" t="s">
        <v>515</v>
      </c>
      <c r="D163" s="30" t="s">
        <v>323</v>
      </c>
      <c r="E163" s="30" t="s">
        <v>175</v>
      </c>
      <c r="F163" s="30" t="s">
        <v>144</v>
      </c>
      <c r="G163" s="38"/>
      <c r="H163" s="38"/>
      <c r="I163" s="37" t="n">
        <v>1</v>
      </c>
      <c r="J163" s="38"/>
      <c r="K163" s="38"/>
      <c r="L163" s="38" t="s">
        <v>501</v>
      </c>
      <c r="M163" s="38" t="str">
        <f aca="false">IF(OR(E163="אולם חתונות גדול",E163="מתחם רב-אולמי",I163&gt;=2,D163="מרכז",D163="שרון",D163="ירושלים והסביבה"),"גבוה","בינוני")</f>
        <v>בינוני</v>
      </c>
    </row>
    <row r="164" customFormat="false" ht="15" hidden="false" customHeight="false" outlineLevel="0" collapsed="false">
      <c r="B164" s="39" t="n">
        <v>148</v>
      </c>
      <c r="C164" s="32" t="s">
        <v>516</v>
      </c>
      <c r="D164" s="32" t="s">
        <v>323</v>
      </c>
      <c r="E164" s="32" t="s">
        <v>175</v>
      </c>
      <c r="F164" s="32" t="s">
        <v>144</v>
      </c>
      <c r="G164" s="40"/>
      <c r="H164" s="40"/>
      <c r="I164" s="39" t="n">
        <v>1</v>
      </c>
      <c r="J164" s="40"/>
      <c r="K164" s="40"/>
      <c r="L164" s="40" t="s">
        <v>501</v>
      </c>
      <c r="M164" s="40" t="str">
        <f aca="false">IF(OR(E164="אולם חתונות גדול",E164="מתחם רב-אולמי",I164&gt;=2,D164="מרכז",D164="שרון",D164="ירושלים והסביבה"),"גבוה","בינוני")</f>
        <v>בינוני</v>
      </c>
    </row>
    <row r="165" customFormat="false" ht="15" hidden="false" customHeight="false" outlineLevel="0" collapsed="false">
      <c r="B165" s="37" t="n">
        <v>149</v>
      </c>
      <c r="C165" s="30" t="s">
        <v>517</v>
      </c>
      <c r="D165" s="30" t="s">
        <v>215</v>
      </c>
      <c r="E165" s="30" t="s">
        <v>179</v>
      </c>
      <c r="F165" s="30" t="s">
        <v>143</v>
      </c>
      <c r="G165" s="38"/>
      <c r="H165" s="38"/>
      <c r="I165" s="37" t="n">
        <v>1</v>
      </c>
      <c r="J165" s="38" t="s">
        <v>518</v>
      </c>
      <c r="K165" s="38"/>
      <c r="L165" s="38" t="s">
        <v>259</v>
      </c>
      <c r="M165" s="38" t="str">
        <f aca="false">IF(OR(E165="אולם חתונות גדול",E165="מתחם רב-אולמי",I165&gt;=2,D165="מרכז",D165="שרון",D165="ירושלים והסביבה"),"גבוה","בינוני")</f>
        <v>בינוני</v>
      </c>
    </row>
    <row r="166" customFormat="false" ht="15" hidden="false" customHeight="false" outlineLevel="0" collapsed="false">
      <c r="B166" s="39" t="n">
        <v>150</v>
      </c>
      <c r="C166" s="32" t="s">
        <v>519</v>
      </c>
      <c r="D166" s="32" t="s">
        <v>520</v>
      </c>
      <c r="E166" s="32" t="s">
        <v>179</v>
      </c>
      <c r="F166" s="32" t="s">
        <v>145</v>
      </c>
      <c r="G166" s="40"/>
      <c r="H166" s="40"/>
      <c r="I166" s="39" t="n">
        <v>1</v>
      </c>
      <c r="J166" s="40"/>
      <c r="K166" s="40"/>
      <c r="L166" s="40" t="s">
        <v>501</v>
      </c>
      <c r="M166" s="40" t="str">
        <f aca="false">IF(OR(E166="אולם חתונות גדול",E166="מתחם רב-אולמי",I166&gt;=2,D166="מרכז",D166="שרון",D166="ירושלים והסביבה"),"גבוה","בינוני")</f>
        <v>בינוני</v>
      </c>
    </row>
    <row r="167" customFormat="false" ht="15" hidden="false" customHeight="false" outlineLevel="0" collapsed="false">
      <c r="B167" s="37" t="n">
        <v>151</v>
      </c>
      <c r="C167" s="30" t="s">
        <v>521</v>
      </c>
      <c r="D167" s="30" t="s">
        <v>520</v>
      </c>
      <c r="E167" s="30" t="s">
        <v>179</v>
      </c>
      <c r="F167" s="30" t="s">
        <v>142</v>
      </c>
      <c r="G167" s="38"/>
      <c r="H167" s="38"/>
      <c r="I167" s="37" t="n">
        <v>1</v>
      </c>
      <c r="J167" s="38"/>
      <c r="K167" s="38"/>
      <c r="L167" s="38" t="s">
        <v>501</v>
      </c>
      <c r="M167" s="38" t="str">
        <f aca="false">IF(OR(E167="אולם חתונות גדול",E167="מתחם רב-אולמי",I167&gt;=2,D167="מרכז",D167="שרון",D167="ירושלים והסביבה"),"גבוה","בינוני")</f>
        <v>בינוני</v>
      </c>
    </row>
    <row r="168" customFormat="false" ht="23.85" hidden="false" customHeight="false" outlineLevel="0" collapsed="false">
      <c r="B168" s="39" t="n">
        <v>152</v>
      </c>
      <c r="C168" s="32" t="s">
        <v>522</v>
      </c>
      <c r="D168" s="32" t="s">
        <v>523</v>
      </c>
      <c r="E168" s="32" t="s">
        <v>168</v>
      </c>
      <c r="F168" s="32" t="s">
        <v>148</v>
      </c>
      <c r="G168" s="40"/>
      <c r="H168" s="40"/>
      <c r="I168" s="39" t="n">
        <v>1</v>
      </c>
      <c r="J168" s="40"/>
      <c r="K168" s="40"/>
      <c r="L168" s="40" t="s">
        <v>501</v>
      </c>
      <c r="M168" s="40" t="str">
        <f aca="false">IF(OR(E168="אולם חתונות גדול",E168="מתחם רב-אולמי",I168&gt;=2,D168="מרכז",D168="שרון",D168="ירושלים והסביבה"),"גבוה","בינוני")</f>
        <v>בינוני</v>
      </c>
    </row>
    <row r="169" customFormat="false" ht="15" hidden="false" customHeight="false" outlineLevel="0" collapsed="false">
      <c r="B169" s="37" t="n">
        <v>153</v>
      </c>
      <c r="C169" s="38" t="s">
        <v>524</v>
      </c>
      <c r="D169" s="30" t="s">
        <v>304</v>
      </c>
      <c r="E169" s="30" t="s">
        <v>179</v>
      </c>
      <c r="F169" s="30" t="s">
        <v>144</v>
      </c>
      <c r="G169" s="38" t="s">
        <v>525</v>
      </c>
      <c r="H169" s="30" t="s">
        <v>180</v>
      </c>
      <c r="I169" s="37" t="n">
        <v>1</v>
      </c>
      <c r="J169" s="38"/>
      <c r="K169" s="38"/>
      <c r="L169" s="38" t="s">
        <v>501</v>
      </c>
      <c r="M169" s="38" t="str">
        <f aca="false">IF(OR(E169="אולם חתונות גדול",E169="מתחם רב-אולמי",I169&gt;=2,D169="מרכז",D169="שרון",D169="ירושלים והסביבה"),"גבוה","בינוני")</f>
        <v>בינוני</v>
      </c>
    </row>
    <row r="170" customFormat="false" ht="15" hidden="false" customHeight="false" outlineLevel="0" collapsed="false">
      <c r="B170" s="39" t="n">
        <v>154</v>
      </c>
      <c r="C170" s="32" t="s">
        <v>526</v>
      </c>
      <c r="D170" s="32" t="s">
        <v>323</v>
      </c>
      <c r="E170" s="32" t="s">
        <v>175</v>
      </c>
      <c r="F170" s="32" t="s">
        <v>142</v>
      </c>
      <c r="G170" s="40"/>
      <c r="H170" s="40"/>
      <c r="I170" s="39" t="n">
        <v>1</v>
      </c>
      <c r="J170" s="40"/>
      <c r="K170" s="40"/>
      <c r="L170" s="40" t="s">
        <v>478</v>
      </c>
      <c r="M170" s="40" t="str">
        <f aca="false">IF(OR(E170="אולם חתונות גדול",E170="מתחם רב-אולמי",I170&gt;=2,D170="מרכז",D170="שרון",D170="ירושלים והסביבה"),"גבוה","בינוני")</f>
        <v>בינוני</v>
      </c>
    </row>
    <row r="171" customFormat="false" ht="15" hidden="false" customHeight="false" outlineLevel="0" collapsed="false">
      <c r="B171" s="37" t="n">
        <v>155</v>
      </c>
      <c r="C171" s="30" t="s">
        <v>527</v>
      </c>
      <c r="D171" s="30" t="s">
        <v>323</v>
      </c>
      <c r="E171" s="30" t="s">
        <v>175</v>
      </c>
      <c r="F171" s="30" t="s">
        <v>143</v>
      </c>
      <c r="G171" s="38"/>
      <c r="H171" s="38"/>
      <c r="I171" s="37" t="n">
        <v>1</v>
      </c>
      <c r="J171" s="38"/>
      <c r="K171" s="38"/>
      <c r="L171" s="38" t="s">
        <v>478</v>
      </c>
      <c r="M171" s="38" t="str">
        <f aca="false">IF(OR(E171="אולם חתונות גדול",E171="מתחם רב-אולמי",I171&gt;=2,D171="מרכז",D171="שרון",D171="ירושלים והסביבה"),"גבוה","בינוני")</f>
        <v>בינוני</v>
      </c>
    </row>
    <row r="172" customFormat="false" ht="15" hidden="false" customHeight="false" outlineLevel="0" collapsed="false">
      <c r="B172" s="39" t="n">
        <v>156</v>
      </c>
      <c r="C172" s="32" t="s">
        <v>528</v>
      </c>
      <c r="D172" s="32" t="s">
        <v>323</v>
      </c>
      <c r="E172" s="32" t="s">
        <v>175</v>
      </c>
      <c r="F172" s="32" t="s">
        <v>142</v>
      </c>
      <c r="G172" s="40"/>
      <c r="H172" s="40"/>
      <c r="I172" s="39" t="n">
        <v>1</v>
      </c>
      <c r="J172" s="40" t="s">
        <v>529</v>
      </c>
      <c r="K172" s="40"/>
      <c r="L172" s="40" t="s">
        <v>478</v>
      </c>
      <c r="M172" s="40" t="str">
        <f aca="false">IF(OR(E172="אולם חתונות גדול",E172="מתחם רב-אולמי",I172&gt;=2,D172="מרכז",D172="שרון",D172="ירושלים והסביבה"),"גבוה","בינוני")</f>
        <v>בינוני</v>
      </c>
    </row>
    <row r="173" customFormat="false" ht="15" hidden="false" customHeight="false" outlineLevel="0" collapsed="false">
      <c r="B173" s="37" t="n">
        <v>157</v>
      </c>
      <c r="C173" s="30" t="s">
        <v>530</v>
      </c>
      <c r="D173" s="30" t="s">
        <v>323</v>
      </c>
      <c r="E173" s="30" t="s">
        <v>175</v>
      </c>
      <c r="F173" s="30" t="s">
        <v>147</v>
      </c>
      <c r="G173" s="38"/>
      <c r="H173" s="38"/>
      <c r="I173" s="37" t="n">
        <v>1</v>
      </c>
      <c r="J173" s="38"/>
      <c r="K173" s="38"/>
      <c r="L173" s="38" t="s">
        <v>478</v>
      </c>
      <c r="M173" s="38" t="str">
        <f aca="false">IF(OR(E173="אולם חתונות גדול",E173="מתחם רב-אולמי",I173&gt;=2,D173="מרכז",D173="שרון",D173="ירושלים והסביבה"),"גבוה","בינוני")</f>
        <v>בינוני</v>
      </c>
    </row>
    <row r="174" customFormat="false" ht="15" hidden="false" customHeight="false" outlineLevel="0" collapsed="false">
      <c r="B174" s="39" t="n">
        <v>158</v>
      </c>
      <c r="C174" s="32" t="s">
        <v>531</v>
      </c>
      <c r="D174" s="32" t="s">
        <v>323</v>
      </c>
      <c r="E174" s="32" t="s">
        <v>175</v>
      </c>
      <c r="F174" s="32" t="s">
        <v>145</v>
      </c>
      <c r="G174" s="40" t="s">
        <v>471</v>
      </c>
      <c r="H174" s="32" t="s">
        <v>532</v>
      </c>
      <c r="I174" s="39" t="n">
        <v>2</v>
      </c>
      <c r="J174" s="40"/>
      <c r="K174" s="40"/>
      <c r="L174" s="40" t="s">
        <v>478</v>
      </c>
      <c r="M174" s="40" t="str">
        <f aca="false">IF(OR(E174="אולם חתונות גדול",E174="מתחם רב-אולמי",I174&gt;=2,D174="מרכז",D174="שרון",D174="ירושלים והסביבה"),"גבוה","בינוני")</f>
        <v>גבוה</v>
      </c>
    </row>
    <row r="175" customFormat="false" ht="15" hidden="false" customHeight="false" outlineLevel="0" collapsed="false">
      <c r="B175" s="37" t="n">
        <v>159</v>
      </c>
      <c r="C175" s="30" t="s">
        <v>533</v>
      </c>
      <c r="D175" s="30" t="s">
        <v>323</v>
      </c>
      <c r="E175" s="30" t="s">
        <v>175</v>
      </c>
      <c r="F175" s="30" t="s">
        <v>144</v>
      </c>
      <c r="G175" s="38" t="s">
        <v>453</v>
      </c>
      <c r="H175" s="30" t="s">
        <v>534</v>
      </c>
      <c r="I175" s="37" t="n">
        <v>1</v>
      </c>
      <c r="J175" s="38"/>
      <c r="K175" s="38"/>
      <c r="L175" s="38" t="s">
        <v>478</v>
      </c>
      <c r="M175" s="38" t="str">
        <f aca="false">IF(OR(E175="אולם חתונות גדול",E175="מתחם רב-אולמי",I175&gt;=2,D175="מרכז",D175="שרון",D175="ירושלים והסביבה"),"גבוה","בינוני")</f>
        <v>בינוני</v>
      </c>
    </row>
    <row r="176" customFormat="false" ht="15" hidden="false" customHeight="false" outlineLevel="0" collapsed="false">
      <c r="B176" s="39" t="n">
        <v>160</v>
      </c>
      <c r="C176" s="32" t="s">
        <v>535</v>
      </c>
      <c r="D176" s="32" t="s">
        <v>323</v>
      </c>
      <c r="E176" s="32" t="s">
        <v>175</v>
      </c>
      <c r="F176" s="32" t="s">
        <v>142</v>
      </c>
      <c r="G176" s="40"/>
      <c r="H176" s="32" t="s">
        <v>532</v>
      </c>
      <c r="I176" s="39" t="n">
        <v>1</v>
      </c>
      <c r="J176" s="40"/>
      <c r="K176" s="40"/>
      <c r="L176" s="40" t="s">
        <v>442</v>
      </c>
      <c r="M176" s="40" t="str">
        <f aca="false">IF(OR(E176="אולם חתונות גדול",E176="מתחם רב-אולמי",I176&gt;=2,D176="מרכז",D176="שרון",D176="ירושלים והסביבה"),"גבוה","בינוני")</f>
        <v>בינוני</v>
      </c>
    </row>
    <row r="177" customFormat="false" ht="15" hidden="false" customHeight="false" outlineLevel="0" collapsed="false">
      <c r="B177" s="37" t="n">
        <v>161</v>
      </c>
      <c r="C177" s="30" t="s">
        <v>536</v>
      </c>
      <c r="D177" s="30" t="s">
        <v>323</v>
      </c>
      <c r="E177" s="30" t="s">
        <v>175</v>
      </c>
      <c r="F177" s="30" t="s">
        <v>142</v>
      </c>
      <c r="G177" s="38"/>
      <c r="H177" s="38"/>
      <c r="I177" s="37" t="n">
        <v>1</v>
      </c>
      <c r="J177" s="38"/>
      <c r="K177" s="38"/>
      <c r="L177" s="38" t="s">
        <v>442</v>
      </c>
      <c r="M177" s="38" t="str">
        <f aca="false">IF(OR(E177="אולם חתונות גדול",E177="מתחם רב-אולמי",I177&gt;=2,D177="מרכז",D177="שרון",D177="ירושלים והסביבה"),"גבוה","בינוני")</f>
        <v>בינוני</v>
      </c>
    </row>
    <row r="178" customFormat="false" ht="15" hidden="false" customHeight="false" outlineLevel="0" collapsed="false">
      <c r="B178" s="39" t="n">
        <v>162</v>
      </c>
      <c r="C178" s="32" t="s">
        <v>537</v>
      </c>
      <c r="D178" s="32" t="s">
        <v>323</v>
      </c>
      <c r="E178" s="32" t="s">
        <v>175</v>
      </c>
      <c r="F178" s="32" t="s">
        <v>144</v>
      </c>
      <c r="G178" s="40"/>
      <c r="H178" s="40"/>
      <c r="I178" s="39" t="n">
        <v>1</v>
      </c>
      <c r="J178" s="40"/>
      <c r="K178" s="40"/>
      <c r="L178" s="40" t="s">
        <v>442</v>
      </c>
      <c r="M178" s="40" t="str">
        <f aca="false">IF(OR(E178="אולם חתונות גדול",E178="מתחם רב-אולמי",I178&gt;=2,D178="מרכז",D178="שרון",D178="ירושלים והסביבה"),"גבוה","בינוני")</f>
        <v>בינוני</v>
      </c>
    </row>
    <row r="179" customFormat="false" ht="15" hidden="false" customHeight="false" outlineLevel="0" collapsed="false">
      <c r="B179" s="37" t="n">
        <v>163</v>
      </c>
      <c r="C179" s="30" t="s">
        <v>538</v>
      </c>
      <c r="D179" s="30" t="s">
        <v>323</v>
      </c>
      <c r="E179" s="30" t="s">
        <v>175</v>
      </c>
      <c r="F179" s="30" t="s">
        <v>143</v>
      </c>
      <c r="G179" s="38" t="s">
        <v>487</v>
      </c>
      <c r="H179" s="30" t="s">
        <v>180</v>
      </c>
      <c r="I179" s="37" t="n">
        <v>1</v>
      </c>
      <c r="J179" s="38"/>
      <c r="K179" s="38"/>
      <c r="L179" s="38" t="s">
        <v>478</v>
      </c>
      <c r="M179" s="38" t="str">
        <f aca="false">IF(OR(E179="אולם חתונות גדול",E179="מתחם רב-אולמי",I179&gt;=2,D179="מרכז",D179="שרון",D179="ירושלים והסביבה"),"גבוה","בינוני")</f>
        <v>בינוני</v>
      </c>
    </row>
    <row r="180" customFormat="false" ht="15" hidden="false" customHeight="false" outlineLevel="0" collapsed="false">
      <c r="B180" s="39" t="n">
        <v>164</v>
      </c>
      <c r="C180" s="32" t="s">
        <v>539</v>
      </c>
      <c r="D180" s="32" t="s">
        <v>540</v>
      </c>
      <c r="E180" s="32" t="s">
        <v>175</v>
      </c>
      <c r="F180" s="32" t="s">
        <v>143</v>
      </c>
      <c r="G180" s="40"/>
      <c r="H180" s="40"/>
      <c r="I180" s="39" t="n">
        <v>1</v>
      </c>
      <c r="J180" s="40" t="s">
        <v>541</v>
      </c>
      <c r="K180" s="40"/>
      <c r="L180" s="40" t="s">
        <v>478</v>
      </c>
      <c r="M180" s="40" t="str">
        <f aca="false">IF(OR(E180="אולם חתונות גדול",E180="מתחם רב-אולמי",I180&gt;=2,D180="מרכז",D180="שרון",D180="ירושלים והסביבה"),"גבוה","בינוני")</f>
        <v>בינוני</v>
      </c>
    </row>
    <row r="181" customFormat="false" ht="15" hidden="false" customHeight="false" outlineLevel="0" collapsed="false">
      <c r="B181" s="37" t="n">
        <v>165</v>
      </c>
      <c r="C181" s="30" t="s">
        <v>542</v>
      </c>
      <c r="D181" s="30" t="s">
        <v>543</v>
      </c>
      <c r="E181" s="30" t="s">
        <v>175</v>
      </c>
      <c r="F181" s="30" t="s">
        <v>144</v>
      </c>
      <c r="G181" s="38"/>
      <c r="H181" s="38"/>
      <c r="I181" s="37" t="n">
        <v>1</v>
      </c>
      <c r="J181" s="38"/>
      <c r="K181" s="38"/>
      <c r="L181" s="38" t="s">
        <v>442</v>
      </c>
      <c r="M181" s="38" t="str">
        <f aca="false">IF(OR(E181="אולם חתונות גדול",E181="מתחם רב-אולמי",I181&gt;=2,D181="מרכז",D181="שרון",D181="ירושלים והסביבה"),"גבוה","בינוני")</f>
        <v>בינוני</v>
      </c>
    </row>
    <row r="182" customFormat="false" ht="15" hidden="false" customHeight="false" outlineLevel="0" collapsed="false">
      <c r="B182" s="39" t="n">
        <v>166</v>
      </c>
      <c r="C182" s="32" t="s">
        <v>544</v>
      </c>
      <c r="D182" s="32" t="s">
        <v>545</v>
      </c>
      <c r="E182" s="32" t="s">
        <v>168</v>
      </c>
      <c r="F182" s="32" t="s">
        <v>144</v>
      </c>
      <c r="G182" s="40"/>
      <c r="H182" s="32" t="s">
        <v>532</v>
      </c>
      <c r="I182" s="39" t="n">
        <v>1</v>
      </c>
      <c r="J182" s="40"/>
      <c r="K182" s="40"/>
      <c r="L182" s="40" t="s">
        <v>442</v>
      </c>
      <c r="M182" s="40" t="str">
        <f aca="false">IF(OR(E182="אולם חתונות גדול",E182="מתחם רב-אולמי",I182&gt;=2,D182="מרכז",D182="שרון",D182="ירושלים והסביבה"),"גבוה","בינוני")</f>
        <v>בינוני</v>
      </c>
    </row>
    <row r="183" customFormat="false" ht="15" hidden="false" customHeight="false" outlineLevel="0" collapsed="false">
      <c r="B183" s="37" t="n">
        <v>167</v>
      </c>
      <c r="C183" s="30" t="s">
        <v>546</v>
      </c>
      <c r="D183" s="30" t="s">
        <v>547</v>
      </c>
      <c r="E183" s="30" t="s">
        <v>175</v>
      </c>
      <c r="F183" s="30" t="s">
        <v>143</v>
      </c>
      <c r="G183" s="38"/>
      <c r="H183" s="38"/>
      <c r="I183" s="37" t="n">
        <v>1</v>
      </c>
      <c r="J183" s="38"/>
      <c r="K183" s="38"/>
      <c r="L183" s="38" t="s">
        <v>478</v>
      </c>
      <c r="M183" s="38" t="str">
        <f aca="false">IF(OR(E183="אולם חתונות גדול",E183="מתחם רב-אולמי",I183&gt;=2,D183="מרכז",D183="שרון",D183="ירושלים והסביבה"),"גבוה","בינוני")</f>
        <v>בינוני</v>
      </c>
    </row>
    <row r="184" customFormat="false" ht="15" hidden="false" customHeight="false" outlineLevel="0" collapsed="false">
      <c r="B184" s="39" t="n">
        <v>168</v>
      </c>
      <c r="C184" s="32" t="s">
        <v>548</v>
      </c>
      <c r="D184" s="32" t="s">
        <v>323</v>
      </c>
      <c r="E184" s="32" t="s">
        <v>175</v>
      </c>
      <c r="F184" s="32" t="s">
        <v>143</v>
      </c>
      <c r="G184" s="40" t="s">
        <v>246</v>
      </c>
      <c r="H184" s="32" t="s">
        <v>180</v>
      </c>
      <c r="I184" s="39" t="n">
        <v>1</v>
      </c>
      <c r="J184" s="40" t="s">
        <v>549</v>
      </c>
      <c r="K184" s="40"/>
      <c r="L184" s="40" t="s">
        <v>462</v>
      </c>
      <c r="M184" s="40" t="str">
        <f aca="false">IF(OR(E184="אולם חתונות גדול",E184="מתחם רב-אולמי",I184&gt;=2,D184="מרכז",D184="שרון",D184="ירושלים והסביבה"),"גבוה","בינוני")</f>
        <v>בינוני</v>
      </c>
    </row>
    <row r="185" customFormat="false" ht="15" hidden="false" customHeight="false" outlineLevel="0" collapsed="false">
      <c r="B185" s="37" t="n">
        <v>169</v>
      </c>
      <c r="C185" s="30" t="s">
        <v>550</v>
      </c>
      <c r="D185" s="30" t="s">
        <v>340</v>
      </c>
      <c r="E185" s="30" t="s">
        <v>175</v>
      </c>
      <c r="F185" s="30" t="s">
        <v>142</v>
      </c>
      <c r="G185" s="38" t="s">
        <v>184</v>
      </c>
      <c r="H185" s="30" t="s">
        <v>180</v>
      </c>
      <c r="I185" s="37" t="n">
        <v>1</v>
      </c>
      <c r="J185" s="38" t="s">
        <v>549</v>
      </c>
      <c r="K185" s="38"/>
      <c r="L185" s="38" t="s">
        <v>462</v>
      </c>
      <c r="M185" s="38" t="str">
        <f aca="false">IF(OR(E185="אולם חתונות גדול",E185="מתחם רב-אולמי",I185&gt;=2,D185="מרכז",D185="שרון",D185="ירושלים והסביבה"),"גבוה","בינוני")</f>
        <v>בינוני</v>
      </c>
    </row>
    <row r="186" customFormat="false" ht="15" hidden="false" customHeight="false" outlineLevel="0" collapsed="false">
      <c r="B186" s="39" t="n">
        <v>170</v>
      </c>
      <c r="C186" s="32" t="s">
        <v>551</v>
      </c>
      <c r="D186" s="32" t="s">
        <v>323</v>
      </c>
      <c r="E186" s="32" t="s">
        <v>175</v>
      </c>
      <c r="F186" s="32" t="s">
        <v>143</v>
      </c>
      <c r="G186" s="40" t="s">
        <v>449</v>
      </c>
      <c r="H186" s="32" t="s">
        <v>180</v>
      </c>
      <c r="I186" s="39" t="n">
        <v>1</v>
      </c>
      <c r="J186" s="40"/>
      <c r="K186" s="40"/>
      <c r="L186" s="40" t="s">
        <v>462</v>
      </c>
      <c r="M186" s="40" t="str">
        <f aca="false">IF(OR(E186="אולם חתונות גדול",E186="מתחם רב-אולמי",I186&gt;=2,D186="מרכז",D186="שרון",D186="ירושלים והסביבה"),"גבוה","בינוני")</f>
        <v>בינוני</v>
      </c>
    </row>
    <row r="187" customFormat="false" ht="15" hidden="false" customHeight="false" outlineLevel="0" collapsed="false">
      <c r="B187" s="37" t="n">
        <v>171</v>
      </c>
      <c r="C187" s="30" t="s">
        <v>552</v>
      </c>
      <c r="D187" s="30" t="s">
        <v>323</v>
      </c>
      <c r="E187" s="30" t="s">
        <v>175</v>
      </c>
      <c r="F187" s="30" t="s">
        <v>142</v>
      </c>
      <c r="G187" s="38" t="s">
        <v>290</v>
      </c>
      <c r="H187" s="30" t="s">
        <v>180</v>
      </c>
      <c r="I187" s="37" t="n">
        <v>1</v>
      </c>
      <c r="J187" s="38"/>
      <c r="K187" s="38"/>
      <c r="L187" s="38" t="s">
        <v>553</v>
      </c>
      <c r="M187" s="38" t="str">
        <f aca="false">IF(OR(E187="אולם חתונות גדול",E187="מתחם רב-אולמי",I187&gt;=2,D187="מרכז",D187="שרון",D187="ירושלים והסביבה"),"גבוה","בינוני")</f>
        <v>בינוני</v>
      </c>
    </row>
    <row r="188" customFormat="false" ht="15" hidden="false" customHeight="false" outlineLevel="0" collapsed="false">
      <c r="B188" s="39" t="n">
        <v>172</v>
      </c>
      <c r="C188" s="32" t="s">
        <v>554</v>
      </c>
      <c r="D188" s="32" t="s">
        <v>323</v>
      </c>
      <c r="E188" s="32" t="s">
        <v>175</v>
      </c>
      <c r="F188" s="32" t="s">
        <v>142</v>
      </c>
      <c r="G188" s="40"/>
      <c r="H188" s="40"/>
      <c r="I188" s="39" t="n">
        <v>1</v>
      </c>
      <c r="J188" s="40" t="s">
        <v>555</v>
      </c>
      <c r="K188" s="40" t="s">
        <v>556</v>
      </c>
      <c r="L188" s="40" t="s">
        <v>557</v>
      </c>
      <c r="M188" s="40" t="str">
        <f aca="false">IF(OR(E188="אולם חתונות גדול",E188="מתחם רב-אולמי",I188&gt;=2,D188="מרכז",D188="שרון",D188="ירושלים והסביבה"),"גבוה","בינוני")</f>
        <v>בינוני</v>
      </c>
    </row>
    <row r="189" customFormat="false" ht="15" hidden="false" customHeight="false" outlineLevel="0" collapsed="false">
      <c r="B189" s="37" t="n">
        <v>173</v>
      </c>
      <c r="C189" s="30" t="s">
        <v>558</v>
      </c>
      <c r="D189" s="30" t="s">
        <v>323</v>
      </c>
      <c r="E189" s="30" t="s">
        <v>175</v>
      </c>
      <c r="F189" s="30" t="s">
        <v>144</v>
      </c>
      <c r="G189" s="38"/>
      <c r="H189" s="38"/>
      <c r="I189" s="37" t="n">
        <v>1</v>
      </c>
      <c r="J189" s="38"/>
      <c r="K189" s="38"/>
      <c r="L189" s="38" t="s">
        <v>442</v>
      </c>
      <c r="M189" s="38" t="str">
        <f aca="false">IF(OR(E189="אולם חתונות גדול",E189="מתחם רב-אולמי",I189&gt;=2,D189="מרכז",D189="שרון",D189="ירושלים והסביבה"),"גבוה","בינוני")</f>
        <v>בינוני</v>
      </c>
    </row>
    <row r="190" customFormat="false" ht="15" hidden="false" customHeight="false" outlineLevel="0" collapsed="false">
      <c r="B190" s="39" t="n">
        <v>174</v>
      </c>
      <c r="C190" s="32" t="s">
        <v>559</v>
      </c>
      <c r="D190" s="32" t="s">
        <v>560</v>
      </c>
      <c r="E190" s="32" t="s">
        <v>282</v>
      </c>
      <c r="F190" s="32" t="s">
        <v>143</v>
      </c>
      <c r="G190" s="40"/>
      <c r="H190" s="40"/>
      <c r="I190" s="39" t="n">
        <v>1</v>
      </c>
      <c r="J190" s="40"/>
      <c r="K190" s="40"/>
      <c r="L190" s="40" t="s">
        <v>442</v>
      </c>
      <c r="M190" s="40" t="str">
        <f aca="false">IF(OR(E190="אולם חתונות גדול",E190="מתחם רב-אולמי",I190&gt;=2,D190="מרכז",D190="שרון",D190="ירושלים והסביבה"),"גבוה","בינוני")</f>
        <v>בינוני</v>
      </c>
    </row>
    <row r="191" customFormat="false" ht="15" hidden="false" customHeight="false" outlineLevel="0" collapsed="false">
      <c r="B191" s="37" t="n">
        <v>175</v>
      </c>
      <c r="C191" s="30" t="s">
        <v>561</v>
      </c>
      <c r="D191" s="30" t="s">
        <v>281</v>
      </c>
      <c r="E191" s="30" t="s">
        <v>282</v>
      </c>
      <c r="F191" s="30" t="s">
        <v>144</v>
      </c>
      <c r="G191" s="38" t="s">
        <v>451</v>
      </c>
      <c r="H191" s="30" t="s">
        <v>180</v>
      </c>
      <c r="I191" s="37" t="n">
        <v>1</v>
      </c>
      <c r="J191" s="38"/>
      <c r="K191" s="38"/>
      <c r="L191" s="38" t="s">
        <v>562</v>
      </c>
      <c r="M191" s="38" t="str">
        <f aca="false">IF(OR(E191="אולם חתונות גדול",E191="מתחם רב-אולמי",I191&gt;=2,D191="מרכז",D191="שרון",D191="ירושלים והסביבה"),"גבוה","בינוני")</f>
        <v>בינוני</v>
      </c>
    </row>
    <row r="192" customFormat="false" ht="15" hidden="false" customHeight="false" outlineLevel="0" collapsed="false">
      <c r="B192" s="39" t="n">
        <v>176</v>
      </c>
      <c r="C192" s="32" t="s">
        <v>563</v>
      </c>
      <c r="D192" s="32" t="s">
        <v>281</v>
      </c>
      <c r="E192" s="32" t="s">
        <v>282</v>
      </c>
      <c r="F192" s="32" t="s">
        <v>144</v>
      </c>
      <c r="G192" s="40"/>
      <c r="H192" s="40"/>
      <c r="I192" s="39" t="n">
        <v>1</v>
      </c>
      <c r="J192" s="40"/>
      <c r="K192" s="40"/>
      <c r="L192" s="40" t="s">
        <v>562</v>
      </c>
      <c r="M192" s="40" t="str">
        <f aca="false">IF(OR(E192="אולם חתונות גדול",E192="מתחם רב-אולמי",I192&gt;=2,D192="מרכז",D192="שרון",D192="ירושלים והסביבה"),"גבוה","בינוני")</f>
        <v>בינוני</v>
      </c>
    </row>
    <row r="193" customFormat="false" ht="15" hidden="false" customHeight="false" outlineLevel="0" collapsed="false">
      <c r="B193" s="37" t="n">
        <v>177</v>
      </c>
      <c r="C193" s="30" t="s">
        <v>564</v>
      </c>
      <c r="D193" s="30" t="s">
        <v>281</v>
      </c>
      <c r="E193" s="30" t="s">
        <v>282</v>
      </c>
      <c r="F193" s="30" t="s">
        <v>144</v>
      </c>
      <c r="G193" s="38" t="s">
        <v>565</v>
      </c>
      <c r="H193" s="30" t="s">
        <v>180</v>
      </c>
      <c r="I193" s="37" t="n">
        <v>1</v>
      </c>
      <c r="J193" s="38" t="s">
        <v>566</v>
      </c>
      <c r="K193" s="38"/>
      <c r="L193" s="38" t="s">
        <v>562</v>
      </c>
      <c r="M193" s="38" t="str">
        <f aca="false">IF(OR(E193="אולם חתונות גדול",E193="מתחם רב-אולמי",I193&gt;=2,D193="מרכז",D193="שרון",D193="ירושלים והסביבה"),"גבוה","בינוני")</f>
        <v>בינוני</v>
      </c>
    </row>
    <row r="194" customFormat="false" ht="15" hidden="false" customHeight="false" outlineLevel="0" collapsed="false">
      <c r="B194" s="39" t="n">
        <v>178</v>
      </c>
      <c r="C194" s="32" t="s">
        <v>567</v>
      </c>
      <c r="D194" s="32" t="s">
        <v>350</v>
      </c>
      <c r="E194" s="32" t="s">
        <v>282</v>
      </c>
      <c r="F194" s="32" t="s">
        <v>143</v>
      </c>
      <c r="G194" s="40" t="s">
        <v>487</v>
      </c>
      <c r="H194" s="32" t="s">
        <v>180</v>
      </c>
      <c r="I194" s="39" t="n">
        <v>1</v>
      </c>
      <c r="J194" s="40" t="s">
        <v>568</v>
      </c>
      <c r="K194" s="40"/>
      <c r="L194" s="40" t="s">
        <v>562</v>
      </c>
      <c r="M194" s="40" t="str">
        <f aca="false">IF(OR(E194="אולם חתונות גדול",E194="מתחם רב-אולמי",I194&gt;=2,D194="מרכז",D194="שרון",D194="ירושלים והסביבה"),"גבוה","בינוני")</f>
        <v>בינוני</v>
      </c>
    </row>
    <row r="195" customFormat="false" ht="15" hidden="false" customHeight="false" outlineLevel="0" collapsed="false">
      <c r="B195" s="37" t="n">
        <v>179</v>
      </c>
      <c r="C195" s="30" t="s">
        <v>569</v>
      </c>
      <c r="D195" s="30" t="s">
        <v>356</v>
      </c>
      <c r="E195" s="30" t="s">
        <v>282</v>
      </c>
      <c r="F195" s="30" t="s">
        <v>143</v>
      </c>
      <c r="G195" s="38" t="s">
        <v>451</v>
      </c>
      <c r="H195" s="30" t="s">
        <v>180</v>
      </c>
      <c r="I195" s="37" t="n">
        <v>1</v>
      </c>
      <c r="J195" s="38"/>
      <c r="K195" s="38"/>
      <c r="L195" s="38" t="s">
        <v>562</v>
      </c>
      <c r="M195" s="38" t="str">
        <f aca="false">IF(OR(E195="אולם חתונות גדול",E195="מתחם רב-אולמי",I195&gt;=2,D195="מרכז",D195="שרון",D195="ירושלים והסביבה"),"גבוה","בינוני")</f>
        <v>בינוני</v>
      </c>
    </row>
    <row r="196" customFormat="false" ht="15" hidden="false" customHeight="false" outlineLevel="0" collapsed="false">
      <c r="B196" s="39" t="n">
        <v>180</v>
      </c>
      <c r="C196" s="32" t="s">
        <v>570</v>
      </c>
      <c r="D196" s="32" t="s">
        <v>571</v>
      </c>
      <c r="E196" s="32" t="s">
        <v>282</v>
      </c>
      <c r="F196" s="32" t="s">
        <v>144</v>
      </c>
      <c r="G196" s="40"/>
      <c r="H196" s="40"/>
      <c r="I196" s="39" t="n">
        <v>1</v>
      </c>
      <c r="J196" s="40" t="s">
        <v>572</v>
      </c>
      <c r="K196" s="40"/>
      <c r="L196" s="40" t="s">
        <v>562</v>
      </c>
      <c r="M196" s="40" t="str">
        <f aca="false">IF(OR(E196="אולם חתונות גדול",E196="מתחם רב-אולמי",I196&gt;=2,D196="מרכז",D196="שרון",D196="ירושלים והסביבה"),"גבוה","בינוני")</f>
        <v>בינוני</v>
      </c>
    </row>
    <row r="197" customFormat="false" ht="15" hidden="false" customHeight="false" outlineLevel="0" collapsed="false">
      <c r="B197" s="37" t="n">
        <v>181</v>
      </c>
      <c r="C197" s="30" t="s">
        <v>573</v>
      </c>
      <c r="D197" s="30" t="s">
        <v>356</v>
      </c>
      <c r="E197" s="30" t="s">
        <v>282</v>
      </c>
      <c r="F197" s="30" t="s">
        <v>142</v>
      </c>
      <c r="G197" s="38" t="s">
        <v>487</v>
      </c>
      <c r="H197" s="30" t="s">
        <v>180</v>
      </c>
      <c r="I197" s="37" t="n">
        <v>1</v>
      </c>
      <c r="J197" s="38" t="s">
        <v>574</v>
      </c>
      <c r="K197" s="38"/>
      <c r="L197" s="38" t="s">
        <v>562</v>
      </c>
      <c r="M197" s="38" t="str">
        <f aca="false">IF(OR(E197="אולם חתונות גדול",E197="מתחם רב-אולמי",I197&gt;=2,D197="מרכז",D197="שרון",D197="ירושלים והסביבה"),"גבוה","בינוני")</f>
        <v>בינוני</v>
      </c>
    </row>
    <row r="198" customFormat="false" ht="15" hidden="false" customHeight="false" outlineLevel="0" collapsed="false">
      <c r="B198" s="39" t="n">
        <v>182</v>
      </c>
      <c r="C198" s="32" t="s">
        <v>575</v>
      </c>
      <c r="D198" s="32" t="s">
        <v>388</v>
      </c>
      <c r="E198" s="32" t="s">
        <v>282</v>
      </c>
      <c r="F198" s="32" t="s">
        <v>144</v>
      </c>
      <c r="G198" s="40" t="s">
        <v>474</v>
      </c>
      <c r="H198" s="32" t="s">
        <v>180</v>
      </c>
      <c r="I198" s="39" t="n">
        <v>1</v>
      </c>
      <c r="J198" s="40" t="s">
        <v>576</v>
      </c>
      <c r="K198" s="40"/>
      <c r="L198" s="40" t="s">
        <v>562</v>
      </c>
      <c r="M198" s="40" t="str">
        <f aca="false">IF(OR(E198="אולם חתונות גדול",E198="מתחם רב-אולמי",I198&gt;=2,D198="מרכז",D198="שרון",D198="ירושלים והסביבה"),"גבוה","בינוני")</f>
        <v>בינוני</v>
      </c>
    </row>
    <row r="199" customFormat="false" ht="15" hidden="false" customHeight="false" outlineLevel="0" collapsed="false">
      <c r="B199" s="37" t="n">
        <v>183</v>
      </c>
      <c r="C199" s="30" t="s">
        <v>577</v>
      </c>
      <c r="D199" s="30" t="s">
        <v>281</v>
      </c>
      <c r="E199" s="30" t="s">
        <v>282</v>
      </c>
      <c r="F199" s="30" t="s">
        <v>144</v>
      </c>
      <c r="G199" s="38" t="s">
        <v>467</v>
      </c>
      <c r="H199" s="30" t="s">
        <v>180</v>
      </c>
      <c r="I199" s="37" t="n">
        <v>1</v>
      </c>
      <c r="J199" s="38"/>
      <c r="K199" s="38"/>
      <c r="L199" s="38" t="s">
        <v>562</v>
      </c>
      <c r="M199" s="38" t="str">
        <f aca="false">IF(OR(E199="אולם חתונות גדול",E199="מתחם רב-אולמי",I199&gt;=2,D199="מרכז",D199="שרון",D199="ירושלים והסביבה"),"גבוה","בינוני")</f>
        <v>בינוני</v>
      </c>
    </row>
    <row r="200" customFormat="false" ht="15" hidden="false" customHeight="false" outlineLevel="0" collapsed="false">
      <c r="B200" s="39" t="n">
        <v>184</v>
      </c>
      <c r="C200" s="32" t="s">
        <v>578</v>
      </c>
      <c r="D200" s="32" t="s">
        <v>281</v>
      </c>
      <c r="E200" s="32" t="s">
        <v>282</v>
      </c>
      <c r="F200" s="32" t="s">
        <v>143</v>
      </c>
      <c r="G200" s="40" t="s">
        <v>246</v>
      </c>
      <c r="H200" s="32" t="s">
        <v>180</v>
      </c>
      <c r="I200" s="39" t="n">
        <v>1</v>
      </c>
      <c r="J200" s="40"/>
      <c r="K200" s="40"/>
      <c r="L200" s="40" t="s">
        <v>478</v>
      </c>
      <c r="M200" s="40" t="str">
        <f aca="false">IF(OR(E200="אולם חתונות גדול",E200="מתחם רב-אולמי",I200&gt;=2,D200="מרכז",D200="שרון",D200="ירושלים והסביבה"),"גבוה","בינוני")</f>
        <v>בינוני</v>
      </c>
    </row>
    <row r="201" customFormat="false" ht="15" hidden="false" customHeight="false" outlineLevel="0" collapsed="false">
      <c r="B201" s="37" t="n">
        <v>185</v>
      </c>
      <c r="C201" s="30" t="s">
        <v>579</v>
      </c>
      <c r="D201" s="30" t="s">
        <v>580</v>
      </c>
      <c r="E201" s="30" t="s">
        <v>282</v>
      </c>
      <c r="F201" s="30" t="s">
        <v>143</v>
      </c>
      <c r="G201" s="38"/>
      <c r="H201" s="38"/>
      <c r="I201" s="37" t="n">
        <v>1</v>
      </c>
      <c r="J201" s="38"/>
      <c r="K201" s="38"/>
      <c r="L201" s="38" t="s">
        <v>581</v>
      </c>
      <c r="M201" s="38" t="str">
        <f aca="false">IF(OR(E201="אולם חתונות גדול",E201="מתחם רב-אולמי",I201&gt;=2,D201="מרכז",D201="שרון",D201="ירושלים והסביבה"),"גבוה","בינוני")</f>
        <v>בינוני</v>
      </c>
    </row>
    <row r="202" customFormat="false" ht="23.85" hidden="false" customHeight="false" outlineLevel="0" collapsed="false">
      <c r="B202" s="39" t="n">
        <v>186</v>
      </c>
      <c r="C202" s="32" t="s">
        <v>582</v>
      </c>
      <c r="D202" s="32" t="s">
        <v>304</v>
      </c>
      <c r="E202" s="32" t="s">
        <v>179</v>
      </c>
      <c r="F202" s="32" t="s">
        <v>148</v>
      </c>
      <c r="G202" s="40" t="s">
        <v>184</v>
      </c>
      <c r="H202" s="32" t="s">
        <v>180</v>
      </c>
      <c r="I202" s="39" t="n">
        <v>1</v>
      </c>
      <c r="J202" s="40" t="s">
        <v>583</v>
      </c>
      <c r="K202" s="40"/>
      <c r="L202" s="40" t="s">
        <v>562</v>
      </c>
      <c r="M202" s="40" t="str">
        <f aca="false">IF(OR(E202="אולם חתונות גדול",E202="מתחם רב-אולמי",I202&gt;=2,D202="מרכז",D202="שרון",D202="ירושלים והסביבה"),"גבוה","בינוני")</f>
        <v>בינוני</v>
      </c>
    </row>
    <row r="203" customFormat="false" ht="15" hidden="false" customHeight="false" outlineLevel="0" collapsed="false">
      <c r="B203" s="37" t="n">
        <v>187</v>
      </c>
      <c r="C203" s="30" t="s">
        <v>584</v>
      </c>
      <c r="D203" s="30" t="s">
        <v>520</v>
      </c>
      <c r="E203" s="30" t="s">
        <v>179</v>
      </c>
      <c r="F203" s="30" t="s">
        <v>143</v>
      </c>
      <c r="G203" s="38" t="s">
        <v>585</v>
      </c>
      <c r="H203" s="30" t="s">
        <v>180</v>
      </c>
      <c r="I203" s="37" t="n">
        <v>1</v>
      </c>
      <c r="J203" s="38" t="s">
        <v>586</v>
      </c>
      <c r="K203" s="38"/>
      <c r="L203" s="38" t="s">
        <v>562</v>
      </c>
      <c r="M203" s="38" t="str">
        <f aca="false">IF(OR(E203="אולם חתונות גדול",E203="מתחם רב-אולמי",I203&gt;=2,D203="מרכז",D203="שרון",D203="ירושלים והסביבה"),"גבוה","בינוני")</f>
        <v>בינוני</v>
      </c>
    </row>
    <row r="204" customFormat="false" ht="15" hidden="false" customHeight="false" outlineLevel="0" collapsed="false">
      <c r="B204" s="39" t="n">
        <v>188</v>
      </c>
      <c r="C204" s="32" t="s">
        <v>587</v>
      </c>
      <c r="D204" s="32" t="s">
        <v>179</v>
      </c>
      <c r="E204" s="32" t="s">
        <v>179</v>
      </c>
      <c r="F204" s="32" t="s">
        <v>143</v>
      </c>
      <c r="G204" s="40" t="s">
        <v>471</v>
      </c>
      <c r="H204" s="32" t="s">
        <v>180</v>
      </c>
      <c r="I204" s="39" t="n">
        <v>1</v>
      </c>
      <c r="J204" s="40" t="s">
        <v>588</v>
      </c>
      <c r="K204" s="40"/>
      <c r="L204" s="40" t="s">
        <v>562</v>
      </c>
      <c r="M204" s="40" t="str">
        <f aca="false">IF(OR(E204="אולם חתונות גדול",E204="מתחם רב-אולמי",I204&gt;=2,D204="מרכז",D204="שרון",D204="ירושלים והסביבה"),"גבוה","בינוני")</f>
        <v>גבוה</v>
      </c>
    </row>
    <row r="205" customFormat="false" ht="15" hidden="false" customHeight="false" outlineLevel="0" collapsed="false">
      <c r="B205" s="37" t="n">
        <v>189</v>
      </c>
      <c r="C205" s="30" t="s">
        <v>589</v>
      </c>
      <c r="D205" s="30" t="s">
        <v>590</v>
      </c>
      <c r="E205" s="30" t="s">
        <v>168</v>
      </c>
      <c r="F205" s="30" t="s">
        <v>143</v>
      </c>
      <c r="G205" s="38" t="s">
        <v>591</v>
      </c>
      <c r="H205" s="30" t="s">
        <v>180</v>
      </c>
      <c r="I205" s="37" t="n">
        <v>1</v>
      </c>
      <c r="J205" s="38" t="s">
        <v>592</v>
      </c>
      <c r="K205" s="38"/>
      <c r="L205" s="38" t="s">
        <v>562</v>
      </c>
      <c r="M205" s="38" t="str">
        <f aca="false">IF(OR(E205="אולם חתונות גדול",E205="מתחם רב-אולמי",I205&gt;=2,D205="מרכז",D205="שרון",D205="ירושלים והסביבה"),"גבוה","בינוני")</f>
        <v>בינוני</v>
      </c>
    </row>
    <row r="206" customFormat="false" ht="15" hidden="false" customHeight="false" outlineLevel="0" collapsed="false">
      <c r="B206" s="39" t="n">
        <v>190</v>
      </c>
      <c r="C206" s="32" t="s">
        <v>593</v>
      </c>
      <c r="D206" s="32" t="s">
        <v>594</v>
      </c>
      <c r="E206" s="32" t="s">
        <v>179</v>
      </c>
      <c r="F206" s="32" t="s">
        <v>144</v>
      </c>
      <c r="G206" s="40" t="s">
        <v>595</v>
      </c>
      <c r="H206" s="32" t="s">
        <v>180</v>
      </c>
      <c r="I206" s="39" t="n">
        <v>1</v>
      </c>
      <c r="J206" s="40" t="s">
        <v>596</v>
      </c>
      <c r="K206" s="40"/>
      <c r="L206" s="40" t="s">
        <v>562</v>
      </c>
      <c r="M206" s="40" t="str">
        <f aca="false">IF(OR(E206="אולם חתונות גדול",E206="מתחם רב-אולמי",I206&gt;=2,D206="מרכז",D206="שרון",D206="ירושלים והסביבה"),"גבוה","בינוני")</f>
        <v>בינוני</v>
      </c>
    </row>
    <row r="207" customFormat="false" ht="23.85" hidden="false" customHeight="false" outlineLevel="0" collapsed="false">
      <c r="B207" s="37" t="n">
        <v>191</v>
      </c>
      <c r="C207" s="30" t="s">
        <v>597</v>
      </c>
      <c r="D207" s="30" t="s">
        <v>304</v>
      </c>
      <c r="E207" s="30" t="s">
        <v>179</v>
      </c>
      <c r="F207" s="30" t="s">
        <v>148</v>
      </c>
      <c r="G207" s="38" t="s">
        <v>598</v>
      </c>
      <c r="H207" s="30" t="s">
        <v>180</v>
      </c>
      <c r="I207" s="37" t="n">
        <v>1</v>
      </c>
      <c r="J207" s="38" t="s">
        <v>599</v>
      </c>
      <c r="K207" s="38"/>
      <c r="L207" s="38" t="s">
        <v>562</v>
      </c>
      <c r="M207" s="38" t="str">
        <f aca="false">IF(OR(E207="אולם חתונות גדול",E207="מתחם רב-אולמי",I207&gt;=2,D207="מרכז",D207="שרון",D207="ירושלים והסביבה"),"גבוה","בינוני")</f>
        <v>בינוני</v>
      </c>
    </row>
    <row r="208" customFormat="false" ht="23.85" hidden="false" customHeight="false" outlineLevel="0" collapsed="false">
      <c r="B208" s="39" t="n">
        <v>192</v>
      </c>
      <c r="C208" s="32" t="s">
        <v>600</v>
      </c>
      <c r="D208" s="32" t="s">
        <v>196</v>
      </c>
      <c r="E208" s="32" t="s">
        <v>179</v>
      </c>
      <c r="F208" s="32" t="s">
        <v>148</v>
      </c>
      <c r="G208" s="40"/>
      <c r="H208" s="40"/>
      <c r="I208" s="39" t="n">
        <v>1</v>
      </c>
      <c r="J208" s="40" t="s">
        <v>601</v>
      </c>
      <c r="K208" s="40"/>
      <c r="L208" s="40" t="s">
        <v>562</v>
      </c>
      <c r="M208" s="40" t="str">
        <f aca="false">IF(OR(E208="אולם חתונות גדול",E208="מתחם רב-אולמי",I208&gt;=2,D208="מרכז",D208="שרון",D208="ירושלים והסביבה"),"גבוה","בינוני")</f>
        <v>בינוני</v>
      </c>
    </row>
    <row r="209" customFormat="false" ht="23.85" hidden="false" customHeight="false" outlineLevel="0" collapsed="false">
      <c r="B209" s="37" t="n">
        <v>193</v>
      </c>
      <c r="C209" s="30" t="s">
        <v>602</v>
      </c>
      <c r="D209" s="30" t="s">
        <v>304</v>
      </c>
      <c r="E209" s="30" t="s">
        <v>179</v>
      </c>
      <c r="F209" s="30" t="s">
        <v>148</v>
      </c>
      <c r="G209" s="38" t="s">
        <v>603</v>
      </c>
      <c r="H209" s="30" t="s">
        <v>180</v>
      </c>
      <c r="I209" s="37" t="n">
        <v>1</v>
      </c>
      <c r="J209" s="38" t="s">
        <v>604</v>
      </c>
      <c r="K209" s="38"/>
      <c r="L209" s="38" t="s">
        <v>562</v>
      </c>
      <c r="M209" s="38" t="str">
        <f aca="false">IF(OR(E209="אולם חתונות גדול",E209="מתחם רב-אולמי",I209&gt;=2,D209="מרכז",D209="שרון",D209="ירושלים והסביבה"),"גבוה","בינוני")</f>
        <v>בינוני</v>
      </c>
    </row>
    <row r="210" customFormat="false" ht="23.85" hidden="false" customHeight="false" outlineLevel="0" collapsed="false">
      <c r="B210" s="39" t="n">
        <v>194</v>
      </c>
      <c r="C210" s="32" t="s">
        <v>605</v>
      </c>
      <c r="D210" s="32" t="s">
        <v>212</v>
      </c>
      <c r="E210" s="32" t="s">
        <v>168</v>
      </c>
      <c r="F210" s="32" t="s">
        <v>148</v>
      </c>
      <c r="G210" s="40"/>
      <c r="H210" s="40"/>
      <c r="I210" s="39" t="n">
        <v>1</v>
      </c>
      <c r="J210" s="40"/>
      <c r="K210" s="40"/>
      <c r="L210" s="40" t="s">
        <v>501</v>
      </c>
      <c r="M210" s="40" t="str">
        <f aca="false">IF(OR(E210="אולם חתונות גדול",E210="מתחם רב-אולמי",I210&gt;=2,D210="מרכז",D210="שרון",D210="ירושלים והסביבה"),"גבוה","בינוני")</f>
        <v>בינוני</v>
      </c>
    </row>
    <row r="211" customFormat="false" ht="15" hidden="false" customHeight="false" outlineLevel="0" collapsed="false">
      <c r="B211" s="37" t="n">
        <v>195</v>
      </c>
      <c r="C211" s="30" t="s">
        <v>606</v>
      </c>
      <c r="D211" s="30" t="s">
        <v>343</v>
      </c>
      <c r="E211" s="30" t="s">
        <v>168</v>
      </c>
      <c r="F211" s="30" t="s">
        <v>144</v>
      </c>
      <c r="G211" s="38"/>
      <c r="H211" s="38"/>
      <c r="I211" s="37" t="n">
        <v>1</v>
      </c>
      <c r="J211" s="38"/>
      <c r="K211" s="38"/>
      <c r="L211" s="38" t="s">
        <v>501</v>
      </c>
      <c r="M211" s="38" t="str">
        <f aca="false">IF(OR(E211="אולם חתונות גדול",E211="מתחם רב-אולמי",I211&gt;=2,D211="מרכז",D211="שרון",D211="ירושלים והסביבה"),"גבוה","בינוני")</f>
        <v>בינוני</v>
      </c>
    </row>
    <row r="212" customFormat="false" ht="23.85" hidden="false" customHeight="false" outlineLevel="0" collapsed="false">
      <c r="B212" s="39" t="n">
        <v>196</v>
      </c>
      <c r="C212" s="40" t="s">
        <v>607</v>
      </c>
      <c r="D212" s="32" t="s">
        <v>608</v>
      </c>
      <c r="E212" s="32" t="s">
        <v>175</v>
      </c>
      <c r="F212" s="32" t="s">
        <v>148</v>
      </c>
      <c r="G212" s="40"/>
      <c r="H212" s="40"/>
      <c r="I212" s="39" t="n">
        <v>1</v>
      </c>
      <c r="J212" s="40"/>
      <c r="K212" s="40"/>
      <c r="L212" s="40" t="s">
        <v>501</v>
      </c>
      <c r="M212" s="40" t="str">
        <f aca="false">IF(OR(E212="אולם חתונות גדול",E212="מתחם רב-אולמי",I212&gt;=2,D212="מרכז",D212="שרון",D212="ירושלים והסביבה"),"גבוה","בינוני")</f>
        <v>בינוני</v>
      </c>
    </row>
    <row r="213" customFormat="false" ht="23.85" hidden="false" customHeight="false" outlineLevel="0" collapsed="false">
      <c r="B213" s="37" t="n">
        <v>197</v>
      </c>
      <c r="C213" s="30" t="s">
        <v>609</v>
      </c>
      <c r="D213" s="30" t="s">
        <v>610</v>
      </c>
      <c r="E213" s="30" t="s">
        <v>188</v>
      </c>
      <c r="F213" s="30" t="s">
        <v>148</v>
      </c>
      <c r="G213" s="38"/>
      <c r="H213" s="38"/>
      <c r="I213" s="37" t="n">
        <v>1</v>
      </c>
      <c r="J213" s="38"/>
      <c r="K213" s="38"/>
      <c r="L213" s="38" t="s">
        <v>562</v>
      </c>
      <c r="M213" s="38" t="str">
        <f aca="false">IF(OR(E213="אולם חתונות גדול",E213="מתחם רב-אולמי",I213&gt;=2,D213="מרכז",D213="שרון",D213="ירושלים והסביבה"),"גבוה","בינוני")</f>
        <v>בינוני</v>
      </c>
    </row>
    <row r="214" customFormat="false" ht="15" hidden="false" customHeight="false" outlineLevel="0" collapsed="false">
      <c r="B214" s="39" t="n">
        <v>198</v>
      </c>
      <c r="C214" s="32" t="s">
        <v>611</v>
      </c>
      <c r="D214" s="32" t="s">
        <v>612</v>
      </c>
      <c r="E214" s="32" t="s">
        <v>168</v>
      </c>
      <c r="F214" s="32" t="s">
        <v>146</v>
      </c>
      <c r="G214" s="40" t="s">
        <v>453</v>
      </c>
      <c r="H214" s="32" t="s">
        <v>180</v>
      </c>
      <c r="I214" s="39" t="n">
        <v>1</v>
      </c>
      <c r="J214" s="40"/>
      <c r="K214" s="40"/>
      <c r="L214" s="40" t="s">
        <v>562</v>
      </c>
      <c r="M214" s="40" t="str">
        <f aca="false">IF(OR(E214="אולם חתונות גדול",E214="מתחם רב-אולמי",I214&gt;=2,D214="מרכז",D214="שרון",D214="ירושלים והסביבה"),"גבוה","בינוני")</f>
        <v>בינוני</v>
      </c>
    </row>
    <row r="215" customFormat="false" ht="15" hidden="false" customHeight="false" outlineLevel="0" collapsed="false">
      <c r="B215" s="37" t="n">
        <v>199</v>
      </c>
      <c r="C215" s="30" t="s">
        <v>613</v>
      </c>
      <c r="D215" s="30" t="s">
        <v>614</v>
      </c>
      <c r="E215" s="30" t="s">
        <v>168</v>
      </c>
      <c r="F215" s="30" t="s">
        <v>146</v>
      </c>
      <c r="G215" s="38"/>
      <c r="H215" s="38"/>
      <c r="I215" s="37" t="n">
        <v>1</v>
      </c>
      <c r="J215" s="38"/>
      <c r="K215" s="38"/>
      <c r="L215" s="38" t="s">
        <v>562</v>
      </c>
      <c r="M215" s="38" t="str">
        <f aca="false">IF(OR(E215="אולם חתונות גדול",E215="מתחם רב-אולמי",I215&gt;=2,D215="מרכז",D215="שרון",D215="ירושלים והסביבה"),"גבוה","בינוני")</f>
        <v>בינוני</v>
      </c>
    </row>
    <row r="216" customFormat="false" ht="15" hidden="false" customHeight="false" outlineLevel="0" collapsed="false">
      <c r="B216" s="39" t="n">
        <v>200</v>
      </c>
      <c r="C216" s="32" t="s">
        <v>615</v>
      </c>
      <c r="D216" s="32" t="s">
        <v>616</v>
      </c>
      <c r="E216" s="32" t="s">
        <v>179</v>
      </c>
      <c r="F216" s="32" t="s">
        <v>144</v>
      </c>
      <c r="G216" s="40"/>
      <c r="H216" s="40"/>
      <c r="I216" s="39" t="n">
        <v>1</v>
      </c>
      <c r="J216" s="40"/>
      <c r="K216" s="40"/>
      <c r="L216" s="40" t="s">
        <v>562</v>
      </c>
      <c r="M216" s="40" t="str">
        <f aca="false">IF(OR(E216="אולם חתונות גדול",E216="מתחם רב-אולמי",I216&gt;=2,D216="מרכז",D216="שרון",D216="ירושלים והסביבה"),"גבוה","בינוני")</f>
        <v>בינוני</v>
      </c>
    </row>
    <row r="217" customFormat="false" ht="15" hidden="false" customHeight="false" outlineLevel="0" collapsed="false">
      <c r="B217" s="37" t="n">
        <v>201</v>
      </c>
      <c r="C217" s="30" t="s">
        <v>617</v>
      </c>
      <c r="D217" s="30" t="s">
        <v>179</v>
      </c>
      <c r="E217" s="30" t="s">
        <v>179</v>
      </c>
      <c r="F217" s="30" t="s">
        <v>143</v>
      </c>
      <c r="G217" s="38"/>
      <c r="H217" s="38"/>
      <c r="I217" s="37" t="n">
        <v>1</v>
      </c>
      <c r="J217" s="38"/>
      <c r="K217" s="38"/>
      <c r="L217" s="38" t="s">
        <v>562</v>
      </c>
      <c r="M217" s="38" t="str">
        <f aca="false">IF(OR(E217="אולם חתונות גדול",E217="מתחם רב-אולמי",I217&gt;=2,D217="מרכז",D217="שרון",D217="ירושלים והסביבה"),"גבוה","בינוני")</f>
        <v>גבוה</v>
      </c>
    </row>
    <row r="218" customFormat="false" ht="15" hidden="false" customHeight="false" outlineLevel="0" collapsed="false">
      <c r="B218" s="39" t="n">
        <v>202</v>
      </c>
      <c r="C218" s="32" t="s">
        <v>618</v>
      </c>
      <c r="D218" s="32" t="s">
        <v>215</v>
      </c>
      <c r="E218" s="32" t="s">
        <v>179</v>
      </c>
      <c r="F218" s="32" t="s">
        <v>144</v>
      </c>
      <c r="G218" s="40"/>
      <c r="H218" s="40"/>
      <c r="I218" s="39" t="n">
        <v>1</v>
      </c>
      <c r="J218" s="40"/>
      <c r="K218" s="40"/>
      <c r="L218" s="40" t="s">
        <v>562</v>
      </c>
      <c r="M218" s="40" t="str">
        <f aca="false">IF(OR(E218="אולם חתונות גדול",E218="מתחם רב-אולמי",I218&gt;=2,D218="מרכז",D218="שרון",D218="ירושלים והסביבה"),"גבוה","בינוני")</f>
        <v>בינוני</v>
      </c>
    </row>
    <row r="219" customFormat="false" ht="15" hidden="false" customHeight="false" outlineLevel="0" collapsed="false">
      <c r="B219" s="37" t="n">
        <v>203</v>
      </c>
      <c r="C219" s="30" t="s">
        <v>619</v>
      </c>
      <c r="D219" s="30" t="s">
        <v>264</v>
      </c>
      <c r="E219" s="30" t="s">
        <v>168</v>
      </c>
      <c r="F219" s="30" t="s">
        <v>142</v>
      </c>
      <c r="G219" s="38"/>
      <c r="H219" s="38"/>
      <c r="I219" s="37" t="n">
        <v>1</v>
      </c>
      <c r="J219" s="38"/>
      <c r="K219" s="38"/>
      <c r="L219" s="38" t="s">
        <v>562</v>
      </c>
      <c r="M219" s="38" t="str">
        <f aca="false">IF(OR(E219="אולם חתונות גדול",E219="מתחם רב-אולמי",I219&gt;=2,D219="מרכז",D219="שרון",D219="ירושלים והסביבה"),"גבוה","בינוני")</f>
        <v>בינוני</v>
      </c>
    </row>
    <row r="220" customFormat="false" ht="15" hidden="false" customHeight="false" outlineLevel="0" collapsed="false">
      <c r="B220" s="39" t="n">
        <v>204</v>
      </c>
      <c r="C220" s="32" t="s">
        <v>620</v>
      </c>
      <c r="D220" s="32" t="s">
        <v>343</v>
      </c>
      <c r="E220" s="32" t="s">
        <v>168</v>
      </c>
      <c r="F220" s="32" t="s">
        <v>144</v>
      </c>
      <c r="G220" s="40"/>
      <c r="H220" s="40"/>
      <c r="I220" s="39" t="n">
        <v>1</v>
      </c>
      <c r="J220" s="40"/>
      <c r="K220" s="40"/>
      <c r="L220" s="40" t="s">
        <v>562</v>
      </c>
      <c r="M220" s="40" t="str">
        <f aca="false">IF(OR(E220="אולם חתונות גדול",E220="מתחם רב-אולמי",I220&gt;=2,D220="מרכז",D220="שרון",D220="ירושלים והסביבה"),"גבוה","בינוני")</f>
        <v>בינוני</v>
      </c>
    </row>
    <row r="221" customFormat="false" ht="15" hidden="false" customHeight="false" outlineLevel="0" collapsed="false">
      <c r="B221" s="37" t="n">
        <v>205</v>
      </c>
      <c r="C221" s="30" t="s">
        <v>621</v>
      </c>
      <c r="D221" s="30" t="s">
        <v>187</v>
      </c>
      <c r="E221" s="30" t="s">
        <v>188</v>
      </c>
      <c r="F221" s="30" t="s">
        <v>144</v>
      </c>
      <c r="G221" s="38"/>
      <c r="H221" s="38"/>
      <c r="I221" s="37" t="n">
        <v>1</v>
      </c>
      <c r="J221" s="38"/>
      <c r="K221" s="38"/>
      <c r="L221" s="38" t="s">
        <v>562</v>
      </c>
      <c r="M221" s="38" t="str">
        <f aca="false">IF(OR(E221="אולם חתונות גדול",E221="מתחם רב-אולמי",I221&gt;=2,D221="מרכז",D221="שרון",D221="ירושלים והסביבה"),"גבוה","בינוני")</f>
        <v>בינוני</v>
      </c>
    </row>
    <row r="222" customFormat="false" ht="15" hidden="false" customHeight="false" outlineLevel="0" collapsed="false">
      <c r="B222" s="39" t="n">
        <v>206</v>
      </c>
      <c r="C222" s="40" t="s">
        <v>622</v>
      </c>
      <c r="D222" s="32" t="s">
        <v>473</v>
      </c>
      <c r="E222" s="32" t="s">
        <v>188</v>
      </c>
      <c r="F222" s="32" t="s">
        <v>144</v>
      </c>
      <c r="G222" s="40"/>
      <c r="H222" s="40"/>
      <c r="I222" s="39" t="n">
        <v>1</v>
      </c>
      <c r="J222" s="40"/>
      <c r="K222" s="40"/>
      <c r="L222" s="40" t="s">
        <v>444</v>
      </c>
      <c r="M222" s="40" t="str">
        <f aca="false">IF(OR(E222="אולם חתונות גדול",E222="מתחם רב-אולמי",I222&gt;=2,D222="מרכז",D222="שרון",D222="ירושלים והסביבה"),"גבוה","בינוני")</f>
        <v>בינוני</v>
      </c>
    </row>
    <row r="223" customFormat="false" ht="15" hidden="false" customHeight="false" outlineLevel="0" collapsed="false">
      <c r="B223" s="37" t="n">
        <v>207</v>
      </c>
      <c r="C223" s="38" t="s">
        <v>623</v>
      </c>
      <c r="D223" s="30" t="s">
        <v>473</v>
      </c>
      <c r="E223" s="30" t="s">
        <v>188</v>
      </c>
      <c r="F223" s="30" t="s">
        <v>146</v>
      </c>
      <c r="G223" s="38" t="s">
        <v>603</v>
      </c>
      <c r="H223" s="30" t="s">
        <v>180</v>
      </c>
      <c r="I223" s="37" t="n">
        <v>1</v>
      </c>
      <c r="J223" s="38"/>
      <c r="K223" s="38"/>
      <c r="L223" s="38" t="s">
        <v>562</v>
      </c>
      <c r="M223" s="38" t="str">
        <f aca="false">IF(OR(E223="אולם חתונות גדול",E223="מתחם רב-אולמי",I223&gt;=2,D223="מרכז",D223="שרון",D223="ירושלים והסביבה"),"גבוה","בינוני")</f>
        <v>בינוני</v>
      </c>
    </row>
    <row r="224" customFormat="false" ht="23.85" hidden="false" customHeight="false" outlineLevel="0" collapsed="false">
      <c r="B224" s="39" t="n">
        <v>208</v>
      </c>
      <c r="C224" s="32" t="s">
        <v>624</v>
      </c>
      <c r="D224" s="32" t="s">
        <v>367</v>
      </c>
      <c r="E224" s="32" t="s">
        <v>168</v>
      </c>
      <c r="F224" s="32" t="s">
        <v>148</v>
      </c>
      <c r="G224" s="40"/>
      <c r="H224" s="40"/>
      <c r="I224" s="39" t="n">
        <v>1</v>
      </c>
      <c r="J224" s="40"/>
      <c r="K224" s="40"/>
      <c r="L224" s="40" t="s">
        <v>444</v>
      </c>
      <c r="M224" s="40" t="str">
        <f aca="false">IF(OR(E224="אולם חתונות גדול",E224="מתחם רב-אולמי",I224&gt;=2,D224="מרכז",D224="שרון",D224="ירושלים והסביבה"),"גבוה","בינוני")</f>
        <v>בינוני</v>
      </c>
    </row>
    <row r="225" customFormat="false" ht="15" hidden="false" customHeight="false" outlineLevel="0" collapsed="false">
      <c r="B225" s="37" t="n">
        <v>209</v>
      </c>
      <c r="C225" s="30" t="s">
        <v>625</v>
      </c>
      <c r="D225" s="30" t="s">
        <v>367</v>
      </c>
      <c r="E225" s="30" t="s">
        <v>168</v>
      </c>
      <c r="F225" s="30" t="s">
        <v>143</v>
      </c>
      <c r="G225" s="38" t="s">
        <v>626</v>
      </c>
      <c r="H225" s="30" t="s">
        <v>180</v>
      </c>
      <c r="I225" s="37" t="n">
        <v>1</v>
      </c>
      <c r="J225" s="38"/>
      <c r="K225" s="38"/>
      <c r="L225" s="38" t="s">
        <v>444</v>
      </c>
      <c r="M225" s="38" t="str">
        <f aca="false">IF(OR(E225="אולם חתונות גדול",E225="מתחם רב-אולמי",I225&gt;=2,D225="מרכז",D225="שרון",D225="ירושלים והסביבה"),"גבוה","בינוני")</f>
        <v>בינוני</v>
      </c>
    </row>
    <row r="226" customFormat="false" ht="15" hidden="false" customHeight="false" outlineLevel="0" collapsed="false">
      <c r="B226" s="39" t="n">
        <v>210</v>
      </c>
      <c r="C226" s="32" t="s">
        <v>627</v>
      </c>
      <c r="D226" s="32" t="s">
        <v>367</v>
      </c>
      <c r="E226" s="32" t="s">
        <v>168</v>
      </c>
      <c r="F226" s="32" t="s">
        <v>144</v>
      </c>
      <c r="G226" s="40"/>
      <c r="H226" s="40"/>
      <c r="I226" s="39" t="n">
        <v>1</v>
      </c>
      <c r="J226" s="40"/>
      <c r="K226" s="40"/>
      <c r="L226" s="40" t="s">
        <v>444</v>
      </c>
      <c r="M226" s="40" t="str">
        <f aca="false">IF(OR(E226="אולם חתונות גדול",E226="מתחם רב-אולמי",I226&gt;=2,D226="מרכז",D226="שרון",D226="ירושלים והסביבה"),"גבוה","בינוני")</f>
        <v>בינוני</v>
      </c>
    </row>
    <row r="227" customFormat="false" ht="23.85" hidden="false" customHeight="false" outlineLevel="0" collapsed="false">
      <c r="B227" s="37" t="n">
        <v>211</v>
      </c>
      <c r="C227" s="30" t="s">
        <v>628</v>
      </c>
      <c r="D227" s="30" t="s">
        <v>245</v>
      </c>
      <c r="E227" s="30" t="s">
        <v>179</v>
      </c>
      <c r="F227" s="30" t="s">
        <v>148</v>
      </c>
      <c r="G227" s="38"/>
      <c r="H227" s="38"/>
      <c r="I227" s="37" t="n">
        <v>1</v>
      </c>
      <c r="J227" s="38"/>
      <c r="K227" s="38"/>
      <c r="L227" s="38" t="s">
        <v>444</v>
      </c>
      <c r="M227" s="38" t="str">
        <f aca="false">IF(OR(E227="אולם חתונות גדול",E227="מתחם רב-אולמי",I227&gt;=2,D227="מרכז",D227="שרון",D227="ירושלים והסביבה"),"גבוה","בינוני")</f>
        <v>בינוני</v>
      </c>
    </row>
    <row r="228" customFormat="false" ht="15" hidden="false" customHeight="false" outlineLevel="0" collapsed="false">
      <c r="B228" s="39" t="n">
        <v>212</v>
      </c>
      <c r="C228" s="32" t="s">
        <v>629</v>
      </c>
      <c r="D228" s="32" t="s">
        <v>612</v>
      </c>
      <c r="E228" s="32" t="s">
        <v>168</v>
      </c>
      <c r="F228" s="32" t="s">
        <v>146</v>
      </c>
      <c r="G228" s="40"/>
      <c r="H228" s="40"/>
      <c r="I228" s="39" t="n">
        <v>1</v>
      </c>
      <c r="J228" s="40"/>
      <c r="K228" s="40"/>
      <c r="L228" s="40" t="s">
        <v>444</v>
      </c>
      <c r="M228" s="40" t="str">
        <f aca="false">IF(OR(E228="אולם חתונות גדול",E228="מתחם רב-אולמי",I228&gt;=2,D228="מרכז",D228="שרון",D228="ירושלים והסביבה"),"גבוה","בינוני")</f>
        <v>בינוני</v>
      </c>
    </row>
    <row r="229" customFormat="false" ht="15" hidden="false" customHeight="false" outlineLevel="0" collapsed="false">
      <c r="B229" s="37" t="n">
        <v>213</v>
      </c>
      <c r="C229" s="38" t="s">
        <v>630</v>
      </c>
      <c r="D229" s="30" t="s">
        <v>612</v>
      </c>
      <c r="E229" s="30" t="s">
        <v>168</v>
      </c>
      <c r="F229" s="30" t="s">
        <v>146</v>
      </c>
      <c r="G229" s="38"/>
      <c r="H229" s="38"/>
      <c r="I229" s="37" t="n">
        <v>1</v>
      </c>
      <c r="J229" s="38"/>
      <c r="K229" s="38"/>
      <c r="L229" s="38" t="s">
        <v>444</v>
      </c>
      <c r="M229" s="38" t="str">
        <f aca="false">IF(OR(E229="אולם חתונות גדול",E229="מתחם רב-אולמי",I229&gt;=2,D229="מרכז",D229="שרון",D229="ירושלים והסביבה"),"גבוה","בינוני")</f>
        <v>בינוני</v>
      </c>
    </row>
    <row r="230" customFormat="false" ht="15" hidden="false" customHeight="false" outlineLevel="0" collapsed="false">
      <c r="B230" s="39" t="n">
        <v>214</v>
      </c>
      <c r="C230" s="32" t="s">
        <v>631</v>
      </c>
      <c r="D230" s="32" t="s">
        <v>612</v>
      </c>
      <c r="E230" s="32" t="s">
        <v>168</v>
      </c>
      <c r="F230" s="32" t="s">
        <v>144</v>
      </c>
      <c r="G230" s="40"/>
      <c r="H230" s="40"/>
      <c r="I230" s="39" t="n">
        <v>1</v>
      </c>
      <c r="J230" s="40"/>
      <c r="K230" s="40"/>
      <c r="L230" s="40" t="s">
        <v>444</v>
      </c>
      <c r="M230" s="40" t="str">
        <f aca="false">IF(OR(E230="אולם חתונות גדול",E230="מתחם רב-אולמי",I230&gt;=2,D230="מרכז",D230="שרון",D230="ירושלים והסביבה"),"גבוה","בינוני")</f>
        <v>בינוני</v>
      </c>
    </row>
    <row r="231" customFormat="false" ht="15" hidden="false" customHeight="false" outlineLevel="0" collapsed="false">
      <c r="B231" s="37" t="n">
        <v>215</v>
      </c>
      <c r="C231" s="38" t="s">
        <v>632</v>
      </c>
      <c r="D231" s="30" t="s">
        <v>187</v>
      </c>
      <c r="E231" s="30" t="s">
        <v>188</v>
      </c>
      <c r="F231" s="30" t="s">
        <v>144</v>
      </c>
      <c r="G231" s="38"/>
      <c r="H231" s="38"/>
      <c r="I231" s="37" t="n">
        <v>1</v>
      </c>
      <c r="J231" s="38"/>
      <c r="K231" s="38"/>
      <c r="L231" s="38" t="s">
        <v>444</v>
      </c>
      <c r="M231" s="38" t="str">
        <f aca="false">IF(OR(E231="אולם חתונות גדול",E231="מתחם רב-אולמי",I231&gt;=2,D231="מרכז",D231="שרון",D231="ירושלים והסביבה"),"גבוה","בינוני")</f>
        <v>בינוני</v>
      </c>
    </row>
    <row r="232" customFormat="false" ht="15" hidden="false" customHeight="false" outlineLevel="0" collapsed="false">
      <c r="B232" s="39" t="n">
        <v>216</v>
      </c>
      <c r="C232" s="40" t="s">
        <v>633</v>
      </c>
      <c r="D232" s="32" t="s">
        <v>612</v>
      </c>
      <c r="E232" s="32" t="s">
        <v>168</v>
      </c>
      <c r="F232" s="32" t="s">
        <v>146</v>
      </c>
      <c r="G232" s="40"/>
      <c r="H232" s="40"/>
      <c r="I232" s="39" t="n">
        <v>1</v>
      </c>
      <c r="J232" s="40"/>
      <c r="K232" s="40"/>
      <c r="L232" s="40" t="s">
        <v>444</v>
      </c>
      <c r="M232" s="40" t="str">
        <f aca="false">IF(OR(E232="אולם חתונות גדול",E232="מתחם רב-אולמי",I232&gt;=2,D232="מרכז",D232="שרון",D232="ירושלים והסביבה"),"גבוה","בינוני")</f>
        <v>בינוני</v>
      </c>
    </row>
    <row r="233" customFormat="false" ht="23.85" hidden="false" customHeight="false" outlineLevel="0" collapsed="false">
      <c r="B233" s="37" t="n">
        <v>217</v>
      </c>
      <c r="C233" s="30" t="s">
        <v>634</v>
      </c>
      <c r="D233" s="30" t="s">
        <v>612</v>
      </c>
      <c r="E233" s="30" t="s">
        <v>168</v>
      </c>
      <c r="F233" s="30" t="s">
        <v>148</v>
      </c>
      <c r="G233" s="38"/>
      <c r="H233" s="38"/>
      <c r="I233" s="37" t="n">
        <v>1</v>
      </c>
      <c r="J233" s="38"/>
      <c r="K233" s="38"/>
      <c r="L233" s="38" t="s">
        <v>444</v>
      </c>
      <c r="M233" s="38" t="str">
        <f aca="false">IF(OR(E233="אולם חתונות גדול",E233="מתחם רב-אולמי",I233&gt;=2,D233="מרכז",D233="שרון",D233="ירושלים והסביבה"),"גבוה","בינוני")</f>
        <v>בינוני</v>
      </c>
    </row>
    <row r="234" customFormat="false" ht="15" hidden="false" customHeight="false" outlineLevel="0" collapsed="false">
      <c r="B234" s="39" t="n">
        <v>218</v>
      </c>
      <c r="C234" s="40" t="s">
        <v>635</v>
      </c>
      <c r="D234" s="32" t="s">
        <v>436</v>
      </c>
      <c r="E234" s="32" t="s">
        <v>188</v>
      </c>
      <c r="F234" s="32" t="s">
        <v>145</v>
      </c>
      <c r="G234" s="40" t="s">
        <v>246</v>
      </c>
      <c r="H234" s="32" t="s">
        <v>180</v>
      </c>
      <c r="I234" s="39" t="n">
        <v>3</v>
      </c>
      <c r="J234" s="40" t="s">
        <v>437</v>
      </c>
      <c r="K234" s="40"/>
      <c r="L234" s="40" t="s">
        <v>444</v>
      </c>
      <c r="M234" s="40" t="str">
        <f aca="false">IF(OR(E234="אולם חתונות גדול",E234="מתחם רב-אולמי",I234&gt;=2,D234="מרכז",D234="שרון",D234="ירושלים והסביבה"),"גבוה","בינוני")</f>
        <v>גבוה</v>
      </c>
    </row>
    <row r="235" customFormat="false" ht="15" hidden="false" customHeight="false" outlineLevel="0" collapsed="false">
      <c r="B235" s="37" t="n">
        <v>219</v>
      </c>
      <c r="C235" s="38" t="s">
        <v>636</v>
      </c>
      <c r="D235" s="30" t="s">
        <v>323</v>
      </c>
      <c r="E235" s="30" t="s">
        <v>175</v>
      </c>
      <c r="F235" s="30" t="s">
        <v>142</v>
      </c>
      <c r="G235" s="38" t="s">
        <v>290</v>
      </c>
      <c r="H235" s="30" t="s">
        <v>180</v>
      </c>
      <c r="I235" s="37" t="n">
        <v>1</v>
      </c>
      <c r="J235" s="38"/>
      <c r="K235" s="38"/>
      <c r="L235" s="38" t="s">
        <v>444</v>
      </c>
      <c r="M235" s="38" t="str">
        <f aca="false">IF(OR(E235="אולם חתונות גדול",E235="מתחם רב-אולמי",I235&gt;=2,D235="מרכז",D235="שרון",D235="ירושלים והסביבה"),"גבוה","בינוני")</f>
        <v>בינוני</v>
      </c>
    </row>
    <row r="236" customFormat="false" ht="15" hidden="false" customHeight="false" outlineLevel="0" collapsed="false">
      <c r="B236" s="39" t="n">
        <v>220</v>
      </c>
      <c r="C236" s="40" t="s">
        <v>637</v>
      </c>
      <c r="D236" s="32" t="s">
        <v>323</v>
      </c>
      <c r="E236" s="32" t="s">
        <v>175</v>
      </c>
      <c r="F236" s="32" t="s">
        <v>142</v>
      </c>
      <c r="G236" s="40" t="s">
        <v>189</v>
      </c>
      <c r="H236" s="32" t="s">
        <v>180</v>
      </c>
      <c r="I236" s="39" t="n">
        <v>1</v>
      </c>
      <c r="J236" s="40"/>
      <c r="K236" s="40"/>
      <c r="L236" s="40" t="s">
        <v>444</v>
      </c>
      <c r="M236" s="40" t="str">
        <f aca="false">IF(OR(E236="אולם חתונות גדול",E236="מתחם רב-אולמי",I236&gt;=2,D236="מרכז",D236="שרון",D236="ירושלים והסביבה"),"גבוה","בינוני")</f>
        <v>בינוני</v>
      </c>
    </row>
    <row r="237" customFormat="false" ht="15" hidden="false" customHeight="false" outlineLevel="0" collapsed="false">
      <c r="B237" s="37" t="n">
        <v>221</v>
      </c>
      <c r="C237" s="38" t="s">
        <v>638</v>
      </c>
      <c r="D237" s="30" t="s">
        <v>639</v>
      </c>
      <c r="E237" s="30" t="s">
        <v>175</v>
      </c>
      <c r="F237" s="30" t="s">
        <v>142</v>
      </c>
      <c r="G237" s="38"/>
      <c r="H237" s="38"/>
      <c r="I237" s="37" t="n">
        <v>1</v>
      </c>
      <c r="J237" s="38"/>
      <c r="K237" s="38"/>
      <c r="L237" s="38" t="s">
        <v>444</v>
      </c>
      <c r="M237" s="38" t="str">
        <f aca="false">IF(OR(E237="אולם חתונות גדול",E237="מתחם רב-אולמי",I237&gt;=2,D237="מרכז",D237="שרון",D237="ירושלים והסביבה"),"גבוה","בינוני")</f>
        <v>בינוני</v>
      </c>
    </row>
    <row r="238" customFormat="false" ht="15" hidden="false" customHeight="false" outlineLevel="0" collapsed="false">
      <c r="B238" s="39" t="n">
        <v>222</v>
      </c>
      <c r="C238" s="40" t="s">
        <v>640</v>
      </c>
      <c r="D238" s="32" t="s">
        <v>641</v>
      </c>
      <c r="E238" s="32" t="s">
        <v>168</v>
      </c>
      <c r="F238" s="32" t="s">
        <v>143</v>
      </c>
      <c r="G238" s="40" t="s">
        <v>231</v>
      </c>
      <c r="H238" s="32" t="s">
        <v>180</v>
      </c>
      <c r="I238" s="39" t="n">
        <v>1</v>
      </c>
      <c r="J238" s="40"/>
      <c r="K238" s="40"/>
      <c r="L238" s="40" t="s">
        <v>444</v>
      </c>
      <c r="M238" s="40" t="str">
        <f aca="false">IF(OR(E238="אולם חתונות גדול",E238="מתחם רב-אולמי",I238&gt;=2,D238="מרכז",D238="שרון",D238="ירושלים והסביבה"),"גבוה","בינוני")</f>
        <v>בינוני</v>
      </c>
    </row>
    <row r="239" customFormat="false" ht="15" hidden="false" customHeight="false" outlineLevel="0" collapsed="false">
      <c r="B239" s="37" t="n">
        <v>223</v>
      </c>
      <c r="C239" s="30" t="s">
        <v>642</v>
      </c>
      <c r="D239" s="30" t="s">
        <v>643</v>
      </c>
      <c r="E239" s="30" t="s">
        <v>168</v>
      </c>
      <c r="F239" s="30" t="s">
        <v>142</v>
      </c>
      <c r="G239" s="38" t="s">
        <v>626</v>
      </c>
      <c r="H239" s="30" t="s">
        <v>180</v>
      </c>
      <c r="I239" s="37" t="n">
        <v>1</v>
      </c>
      <c r="J239" s="38"/>
      <c r="K239" s="38"/>
      <c r="L239" s="38" t="s">
        <v>444</v>
      </c>
      <c r="M239" s="38" t="str">
        <f aca="false">IF(OR(E239="אולם חתונות גדול",E239="מתחם רב-אולמי",I239&gt;=2,D239="מרכז",D239="שרון",D239="ירושלים והסביבה"),"גבוה","בינוני")</f>
        <v>בינוני</v>
      </c>
    </row>
    <row r="240" customFormat="false" ht="15" hidden="false" customHeight="false" outlineLevel="0" collapsed="false">
      <c r="B240" s="39" t="n">
        <v>224</v>
      </c>
      <c r="C240" s="40" t="s">
        <v>644</v>
      </c>
      <c r="D240" s="32" t="s">
        <v>204</v>
      </c>
      <c r="E240" s="32" t="s">
        <v>168</v>
      </c>
      <c r="F240" s="32" t="s">
        <v>143</v>
      </c>
      <c r="G240" s="40" t="s">
        <v>261</v>
      </c>
      <c r="H240" s="32" t="s">
        <v>180</v>
      </c>
      <c r="I240" s="39" t="n">
        <v>1</v>
      </c>
      <c r="J240" s="40"/>
      <c r="K240" s="40"/>
      <c r="L240" s="40" t="s">
        <v>444</v>
      </c>
      <c r="M240" s="40" t="str">
        <f aca="false">IF(OR(E240="אולם חתונות גדול",E240="מתחם רב-אולמי",I240&gt;=2,D240="מרכז",D240="שרון",D240="ירושלים והסביבה"),"גבוה","בינוני")</f>
        <v>בינוני</v>
      </c>
    </row>
    <row r="241" customFormat="false" ht="15" hidden="false" customHeight="false" outlineLevel="0" collapsed="false">
      <c r="B241" s="37" t="n">
        <v>225</v>
      </c>
      <c r="C241" s="38" t="s">
        <v>645</v>
      </c>
      <c r="D241" s="30" t="s">
        <v>612</v>
      </c>
      <c r="E241" s="30" t="s">
        <v>168</v>
      </c>
      <c r="F241" s="30" t="s">
        <v>144</v>
      </c>
      <c r="G241" s="38" t="s">
        <v>189</v>
      </c>
      <c r="H241" s="30" t="s">
        <v>180</v>
      </c>
      <c r="I241" s="37" t="n">
        <v>1</v>
      </c>
      <c r="J241" s="38"/>
      <c r="K241" s="38"/>
      <c r="L241" s="38" t="s">
        <v>444</v>
      </c>
      <c r="M241" s="38" t="str">
        <f aca="false">IF(OR(E241="אולם חתונות גדול",E241="מתחם רב-אולמי",I241&gt;=2,D241="מרכז",D241="שרון",D241="ירושלים והסביבה"),"גבוה","בינוני")</f>
        <v>בינוני</v>
      </c>
    </row>
    <row r="242" customFormat="false" ht="15" hidden="false" customHeight="false" outlineLevel="0" collapsed="false">
      <c r="B242" s="39" t="n">
        <v>226</v>
      </c>
      <c r="C242" s="32" t="s">
        <v>646</v>
      </c>
      <c r="D242" s="32" t="s">
        <v>545</v>
      </c>
      <c r="E242" s="32" t="s">
        <v>168</v>
      </c>
      <c r="F242" s="32" t="s">
        <v>144</v>
      </c>
      <c r="G242" s="40" t="s">
        <v>591</v>
      </c>
      <c r="H242" s="32" t="s">
        <v>532</v>
      </c>
      <c r="I242" s="39" t="n">
        <v>1</v>
      </c>
      <c r="J242" s="40"/>
      <c r="K242" s="40"/>
      <c r="L242" s="40" t="s">
        <v>444</v>
      </c>
      <c r="M242" s="40" t="str">
        <f aca="false">IF(OR(E242="אולם חתונות גדול",E242="מתחם רב-אולמי",I242&gt;=2,D242="מרכז",D242="שרון",D242="ירושלים והסביבה"),"גבוה","בינוני")</f>
        <v>בינוני</v>
      </c>
    </row>
    <row r="243" customFormat="false" ht="15" hidden="false" customHeight="false" outlineLevel="0" collapsed="false">
      <c r="B243" s="37" t="n">
        <v>227</v>
      </c>
      <c r="C243" s="38" t="s">
        <v>647</v>
      </c>
      <c r="D243" s="30" t="s">
        <v>643</v>
      </c>
      <c r="E243" s="30" t="s">
        <v>168</v>
      </c>
      <c r="F243" s="30" t="s">
        <v>142</v>
      </c>
      <c r="G243" s="38"/>
      <c r="H243" s="38"/>
      <c r="I243" s="37" t="n">
        <v>1</v>
      </c>
      <c r="J243" s="38"/>
      <c r="K243" s="38"/>
      <c r="L243" s="38" t="s">
        <v>444</v>
      </c>
      <c r="M243" s="38" t="str">
        <f aca="false">IF(OR(E243="אולם חתונות גדול",E243="מתחם רב-אולמי",I243&gt;=2,D243="מרכז",D243="שרון",D243="ירושלים והסביבה"),"גבוה","בינוני")</f>
        <v>בינוני</v>
      </c>
    </row>
    <row r="244" customFormat="false" ht="15" hidden="false" customHeight="false" outlineLevel="0" collapsed="false">
      <c r="B244" s="39" t="n">
        <v>228</v>
      </c>
      <c r="C244" s="40" t="s">
        <v>648</v>
      </c>
      <c r="D244" s="32" t="s">
        <v>347</v>
      </c>
      <c r="E244" s="32" t="s">
        <v>168</v>
      </c>
      <c r="F244" s="32" t="s">
        <v>146</v>
      </c>
      <c r="G244" s="40" t="s">
        <v>231</v>
      </c>
      <c r="H244" s="32" t="s">
        <v>180</v>
      </c>
      <c r="I244" s="39" t="n">
        <v>1</v>
      </c>
      <c r="J244" s="40"/>
      <c r="K244" s="40"/>
      <c r="L244" s="40" t="s">
        <v>444</v>
      </c>
      <c r="M244" s="40" t="str">
        <f aca="false">IF(OR(E244="אולם חתונות גדול",E244="מתחם רב-אולמי",I244&gt;=2,D244="מרכז",D244="שרון",D244="ירושלים והסביבה"),"גבוה","בינוני")</f>
        <v>בינוני</v>
      </c>
    </row>
    <row r="245" customFormat="false" ht="15" hidden="false" customHeight="false" outlineLevel="0" collapsed="false">
      <c r="B245" s="37" t="n">
        <v>229</v>
      </c>
      <c r="C245" s="30" t="s">
        <v>649</v>
      </c>
      <c r="D245" s="30" t="s">
        <v>612</v>
      </c>
      <c r="E245" s="30" t="s">
        <v>168</v>
      </c>
      <c r="F245" s="30" t="s">
        <v>143</v>
      </c>
      <c r="G245" s="38" t="s">
        <v>591</v>
      </c>
      <c r="H245" s="30" t="s">
        <v>180</v>
      </c>
      <c r="I245" s="37" t="n">
        <v>1</v>
      </c>
      <c r="J245" s="38"/>
      <c r="K245" s="38"/>
      <c r="L245" s="38" t="s">
        <v>444</v>
      </c>
      <c r="M245" s="38" t="str">
        <f aca="false">IF(OR(E245="אולם חתונות גדול",E245="מתחם רב-אולמי",I245&gt;=2,D245="מרכז",D245="שרון",D245="ירושלים והסביבה"),"גבוה","בינוני")</f>
        <v>בינוני</v>
      </c>
    </row>
    <row r="246" customFormat="false" ht="15" hidden="false" customHeight="false" outlineLevel="0" collapsed="false">
      <c r="B246" s="39" t="n">
        <v>230</v>
      </c>
      <c r="C246" s="32" t="s">
        <v>650</v>
      </c>
      <c r="D246" s="32" t="s">
        <v>545</v>
      </c>
      <c r="E246" s="32" t="s">
        <v>168</v>
      </c>
      <c r="F246" s="32" t="s">
        <v>142</v>
      </c>
      <c r="G246" s="40" t="s">
        <v>246</v>
      </c>
      <c r="H246" s="32" t="s">
        <v>532</v>
      </c>
      <c r="I246" s="39" t="n">
        <v>1</v>
      </c>
      <c r="J246" s="40"/>
      <c r="K246" s="40"/>
      <c r="L246" s="40" t="s">
        <v>444</v>
      </c>
      <c r="M246" s="40" t="str">
        <f aca="false">IF(OR(E246="אולם חתונות גדול",E246="מתחם רב-אולמי",I246&gt;=2,D246="מרכז",D246="שרון",D246="ירושלים והסביבה"),"גבוה","בינוני")</f>
        <v>בינוני</v>
      </c>
    </row>
    <row r="247" customFormat="false" ht="15" hidden="false" customHeight="false" outlineLevel="0" collapsed="false">
      <c r="B247" s="37" t="n">
        <v>231</v>
      </c>
      <c r="C247" s="38" t="s">
        <v>651</v>
      </c>
      <c r="D247" s="30" t="s">
        <v>612</v>
      </c>
      <c r="E247" s="30" t="s">
        <v>168</v>
      </c>
      <c r="F247" s="30" t="s">
        <v>146</v>
      </c>
      <c r="G247" s="38" t="s">
        <v>487</v>
      </c>
      <c r="H247" s="30" t="s">
        <v>180</v>
      </c>
      <c r="I247" s="37" t="n">
        <v>1</v>
      </c>
      <c r="J247" s="38"/>
      <c r="K247" s="38"/>
      <c r="L247" s="38" t="s">
        <v>444</v>
      </c>
      <c r="M247" s="38" t="str">
        <f aca="false">IF(OR(E247="אולם חתונות גדול",E247="מתחם רב-אולמי",I247&gt;=2,D247="מרכז",D247="שרון",D247="ירושלים והסביבה"),"גבוה","בינוני")</f>
        <v>בינוני</v>
      </c>
    </row>
    <row r="248" customFormat="false" ht="15" hidden="false" customHeight="false" outlineLevel="0" collapsed="false">
      <c r="B248" s="39" t="n">
        <v>232</v>
      </c>
      <c r="C248" s="40" t="s">
        <v>652</v>
      </c>
      <c r="D248" s="32" t="s">
        <v>643</v>
      </c>
      <c r="E248" s="32" t="s">
        <v>168</v>
      </c>
      <c r="F248" s="32" t="s">
        <v>142</v>
      </c>
      <c r="G248" s="40" t="s">
        <v>653</v>
      </c>
      <c r="H248" s="32" t="s">
        <v>180</v>
      </c>
      <c r="I248" s="39" t="n">
        <v>1</v>
      </c>
      <c r="J248" s="40"/>
      <c r="K248" s="40"/>
      <c r="L248" s="40" t="s">
        <v>444</v>
      </c>
      <c r="M248" s="40" t="str">
        <f aca="false">IF(OR(E248="אולם חתונות גדול",E248="מתחם רב-אולמי",I248&gt;=2,D248="מרכז",D248="שרון",D248="ירושלים והסביבה"),"גבוה","בינוני")</f>
        <v>בינוני</v>
      </c>
    </row>
    <row r="249" customFormat="false" ht="15" hidden="false" customHeight="false" outlineLevel="0" collapsed="false">
      <c r="B249" s="37" t="n">
        <v>233</v>
      </c>
      <c r="C249" s="38" t="s">
        <v>654</v>
      </c>
      <c r="D249" s="30" t="s">
        <v>612</v>
      </c>
      <c r="E249" s="30" t="s">
        <v>168</v>
      </c>
      <c r="F249" s="30" t="s">
        <v>142</v>
      </c>
      <c r="G249" s="38"/>
      <c r="H249" s="38"/>
      <c r="I249" s="37" t="n">
        <v>1</v>
      </c>
      <c r="J249" s="38"/>
      <c r="K249" s="38"/>
      <c r="L249" s="38" t="s">
        <v>444</v>
      </c>
      <c r="M249" s="38" t="str">
        <f aca="false">IF(OR(E249="אולם חתונות גדול",E249="מתחם רב-אולמי",I249&gt;=2,D249="מרכז",D249="שרון",D249="ירושלים והסביבה"),"גבוה","בינוני")</f>
        <v>בינוני</v>
      </c>
    </row>
    <row r="250" customFormat="false" ht="15" hidden="false" customHeight="false" outlineLevel="0" collapsed="false">
      <c r="B250" s="39" t="n">
        <v>234</v>
      </c>
      <c r="C250" s="32" t="s">
        <v>655</v>
      </c>
      <c r="D250" s="32" t="s">
        <v>204</v>
      </c>
      <c r="E250" s="32" t="s">
        <v>168</v>
      </c>
      <c r="F250" s="32" t="s">
        <v>142</v>
      </c>
      <c r="G250" s="40" t="s">
        <v>427</v>
      </c>
      <c r="H250" s="32" t="s">
        <v>180</v>
      </c>
      <c r="I250" s="39" t="n">
        <v>1</v>
      </c>
      <c r="J250" s="40"/>
      <c r="K250" s="40"/>
      <c r="L250" s="40" t="s">
        <v>656</v>
      </c>
      <c r="M250" s="40" t="str">
        <f aca="false">IF(OR(E250="אולם חתונות גדול",E250="מתחם רב-אולמי",I250&gt;=2,D250="מרכז",D250="שרון",D250="ירושלים והסביבה"),"גבוה","בינוני")</f>
        <v>בינוני</v>
      </c>
    </row>
    <row r="251" customFormat="false" ht="15" hidden="false" customHeight="false" outlineLevel="0" collapsed="false">
      <c r="B251" s="37" t="n">
        <v>235</v>
      </c>
      <c r="C251" s="30" t="s">
        <v>657</v>
      </c>
      <c r="D251" s="30" t="s">
        <v>204</v>
      </c>
      <c r="E251" s="30" t="s">
        <v>168</v>
      </c>
      <c r="F251" s="30" t="s">
        <v>144</v>
      </c>
      <c r="G251" s="38" t="s">
        <v>471</v>
      </c>
      <c r="H251" s="30" t="s">
        <v>180</v>
      </c>
      <c r="I251" s="37" t="n">
        <v>1</v>
      </c>
      <c r="J251" s="38"/>
      <c r="K251" s="38"/>
      <c r="L251" s="38" t="s">
        <v>656</v>
      </c>
      <c r="M251" s="38" t="str">
        <f aca="false">IF(OR(E251="אולם חתונות גדול",E251="מתחם רב-אולמי",I251&gt;=2,D251="מרכז",D251="שרון",D251="ירושלים והסביבה"),"גבוה","בינוני")</f>
        <v>בינוני</v>
      </c>
    </row>
    <row r="252" customFormat="false" ht="15" hidden="false" customHeight="false" outlineLevel="0" collapsed="false">
      <c r="B252" s="39" t="n">
        <v>236</v>
      </c>
      <c r="C252" s="32" t="s">
        <v>658</v>
      </c>
      <c r="D252" s="32" t="s">
        <v>204</v>
      </c>
      <c r="E252" s="32" t="s">
        <v>168</v>
      </c>
      <c r="F252" s="32" t="s">
        <v>144</v>
      </c>
      <c r="G252" s="40" t="s">
        <v>189</v>
      </c>
      <c r="H252" s="32" t="s">
        <v>180</v>
      </c>
      <c r="I252" s="39" t="n">
        <v>1</v>
      </c>
      <c r="J252" s="40"/>
      <c r="K252" s="40"/>
      <c r="L252" s="40" t="s">
        <v>656</v>
      </c>
      <c r="M252" s="40" t="str">
        <f aca="false">IF(OR(E252="אולם חתונות גדול",E252="מתחם רב-אולמי",I252&gt;=2,D252="מרכז",D252="שרון",D252="ירושלים והסביבה"),"גבוה","בינוני")</f>
        <v>בינוני</v>
      </c>
    </row>
    <row r="253" customFormat="false" ht="15" hidden="false" customHeight="false" outlineLevel="0" collapsed="false">
      <c r="B253" s="37" t="n">
        <v>237</v>
      </c>
      <c r="C253" s="30" t="s">
        <v>659</v>
      </c>
      <c r="D253" s="30" t="s">
        <v>168</v>
      </c>
      <c r="E253" s="30" t="s">
        <v>168</v>
      </c>
      <c r="F253" s="30" t="s">
        <v>145</v>
      </c>
      <c r="G253" s="38" t="s">
        <v>189</v>
      </c>
      <c r="H253" s="30" t="s">
        <v>180</v>
      </c>
      <c r="I253" s="37" t="n">
        <v>1</v>
      </c>
      <c r="J253" s="38"/>
      <c r="K253" s="38"/>
      <c r="L253" s="38" t="s">
        <v>656</v>
      </c>
      <c r="M253" s="38" t="str">
        <f aca="false">IF(OR(E253="אולם חתונות גדול",E253="מתחם רב-אולמי",I253&gt;=2,D253="מרכז",D253="שרון",D253="ירושלים והסביבה"),"גבוה","בינוני")</f>
        <v>גבוה</v>
      </c>
    </row>
    <row r="254" customFormat="false" ht="15" hidden="false" customHeight="false" outlineLevel="0" collapsed="false">
      <c r="B254" s="39" t="n">
        <v>238</v>
      </c>
      <c r="C254" s="32" t="s">
        <v>660</v>
      </c>
      <c r="D254" s="32" t="s">
        <v>304</v>
      </c>
      <c r="E254" s="32" t="s">
        <v>179</v>
      </c>
      <c r="F254" s="32" t="s">
        <v>143</v>
      </c>
      <c r="G254" s="40" t="s">
        <v>487</v>
      </c>
      <c r="H254" s="32" t="s">
        <v>180</v>
      </c>
      <c r="I254" s="39" t="n">
        <v>1</v>
      </c>
      <c r="J254" s="40"/>
      <c r="K254" s="40"/>
      <c r="L254" s="40" t="s">
        <v>656</v>
      </c>
      <c r="M254" s="40" t="str">
        <f aca="false">IF(OR(E254="אולם חתונות גדול",E254="מתחם רב-אולמי",I254&gt;=2,D254="מרכז",D254="שרון",D254="ירושלים והסביבה"),"גבוה","בינוני")</f>
        <v>בינוני</v>
      </c>
    </row>
    <row r="255" customFormat="false" ht="15" hidden="false" customHeight="false" outlineLevel="0" collapsed="false">
      <c r="B255" s="37" t="n">
        <v>239</v>
      </c>
      <c r="C255" s="30" t="s">
        <v>661</v>
      </c>
      <c r="D255" s="30" t="s">
        <v>215</v>
      </c>
      <c r="E255" s="30" t="s">
        <v>179</v>
      </c>
      <c r="F255" s="30" t="s">
        <v>142</v>
      </c>
      <c r="G255" s="38" t="s">
        <v>487</v>
      </c>
      <c r="H255" s="30" t="s">
        <v>180</v>
      </c>
      <c r="I255" s="37" t="n">
        <v>1</v>
      </c>
      <c r="J255" s="38"/>
      <c r="K255" s="38"/>
      <c r="L255" s="38" t="s">
        <v>656</v>
      </c>
      <c r="M255" s="38" t="str">
        <f aca="false">IF(OR(E255="אולם חתונות גדול",E255="מתחם רב-אולמי",I255&gt;=2,D255="מרכז",D255="שרון",D255="ירושלים והסביבה"),"גבוה","בינוני")</f>
        <v>בינוני</v>
      </c>
    </row>
    <row r="256" customFormat="false" ht="15" hidden="false" customHeight="false" outlineLevel="0" collapsed="false">
      <c r="B256" s="39" t="n">
        <v>240</v>
      </c>
      <c r="C256" s="32" t="s">
        <v>662</v>
      </c>
      <c r="D256" s="32" t="s">
        <v>323</v>
      </c>
      <c r="E256" s="32" t="s">
        <v>175</v>
      </c>
      <c r="F256" s="32" t="s">
        <v>144</v>
      </c>
      <c r="G256" s="40" t="s">
        <v>189</v>
      </c>
      <c r="H256" s="32" t="s">
        <v>180</v>
      </c>
      <c r="I256" s="39" t="n">
        <v>1</v>
      </c>
      <c r="J256" s="40"/>
      <c r="K256" s="40"/>
      <c r="L256" s="40" t="s">
        <v>656</v>
      </c>
      <c r="M256" s="40" t="str">
        <f aca="false">IF(OR(E256="אולם חתונות גדול",E256="מתחם רב-אולמי",I256&gt;=2,D256="מרכז",D256="שרון",D256="ירושלים והסביבה"),"גבוה","בינוני")</f>
        <v>בינוני</v>
      </c>
    </row>
    <row r="257" customFormat="false" ht="15" hidden="false" customHeight="false" outlineLevel="0" collapsed="false">
      <c r="B257" s="37" t="n">
        <v>241</v>
      </c>
      <c r="C257" s="30" t="s">
        <v>663</v>
      </c>
      <c r="D257" s="30" t="s">
        <v>323</v>
      </c>
      <c r="E257" s="30" t="s">
        <v>175</v>
      </c>
      <c r="F257" s="30" t="s">
        <v>142</v>
      </c>
      <c r="G257" s="38" t="s">
        <v>410</v>
      </c>
      <c r="H257" s="30" t="s">
        <v>180</v>
      </c>
      <c r="I257" s="37" t="n">
        <v>1</v>
      </c>
      <c r="J257" s="38"/>
      <c r="K257" s="38"/>
      <c r="L257" s="38" t="s">
        <v>656</v>
      </c>
      <c r="M257" s="38" t="str">
        <f aca="false">IF(OR(E257="אולם חתונות גדול",E257="מתחם רב-אולמי",I257&gt;=2,D257="מרכז",D257="שרון",D257="ירושלים והסביבה"),"גבוה","בינוני")</f>
        <v>בינוני</v>
      </c>
    </row>
    <row r="258" customFormat="false" ht="15" hidden="false" customHeight="false" outlineLevel="0" collapsed="false">
      <c r="B258" s="39" t="n">
        <v>242</v>
      </c>
      <c r="C258" s="40" t="s">
        <v>664</v>
      </c>
      <c r="D258" s="32" t="s">
        <v>639</v>
      </c>
      <c r="E258" s="32" t="s">
        <v>175</v>
      </c>
      <c r="F258" s="32" t="s">
        <v>145</v>
      </c>
      <c r="G258" s="40" t="s">
        <v>665</v>
      </c>
      <c r="H258" s="32" t="s">
        <v>180</v>
      </c>
      <c r="I258" s="39" t="n">
        <v>4</v>
      </c>
      <c r="J258" s="40"/>
      <c r="K258" s="40"/>
      <c r="L258" s="40" t="s">
        <v>656</v>
      </c>
      <c r="M258" s="40" t="str">
        <f aca="false">IF(OR(E258="אולם חתונות גדול",E258="מתחם רב-אולמי",I258&gt;=2,D258="מרכז",D258="שרון",D258="ירושלים והסביבה"),"גבוה","בינוני")</f>
        <v>גבוה</v>
      </c>
    </row>
    <row r="259" customFormat="false" ht="15" hidden="false" customHeight="false" outlineLevel="0" collapsed="false">
      <c r="B259" s="37" t="n">
        <v>243</v>
      </c>
      <c r="C259" s="30" t="s">
        <v>666</v>
      </c>
      <c r="D259" s="30" t="s">
        <v>179</v>
      </c>
      <c r="E259" s="30" t="s">
        <v>179</v>
      </c>
      <c r="F259" s="30" t="s">
        <v>143</v>
      </c>
      <c r="G259" s="38" t="s">
        <v>290</v>
      </c>
      <c r="H259" s="30" t="s">
        <v>180</v>
      </c>
      <c r="I259" s="37" t="n">
        <v>1</v>
      </c>
      <c r="J259" s="38"/>
      <c r="K259" s="38"/>
      <c r="L259" s="38" t="s">
        <v>656</v>
      </c>
      <c r="M259" s="38" t="str">
        <f aca="false">IF(OR(E259="אולם חתונות גדול",E259="מתחם רב-אולמי",I259&gt;=2,D259="מרכז",D259="שרון",D259="ירושלים והסביבה"),"גבוה","בינוני")</f>
        <v>גבוה</v>
      </c>
    </row>
    <row r="260" customFormat="false" ht="15" hidden="false" customHeight="false" outlineLevel="0" collapsed="false">
      <c r="B260" s="39" t="n">
        <v>244</v>
      </c>
      <c r="C260" s="32" t="s">
        <v>667</v>
      </c>
      <c r="D260" s="32" t="s">
        <v>304</v>
      </c>
      <c r="E260" s="32" t="s">
        <v>179</v>
      </c>
      <c r="F260" s="32" t="s">
        <v>144</v>
      </c>
      <c r="G260" s="40" t="s">
        <v>668</v>
      </c>
      <c r="H260" s="32" t="s">
        <v>180</v>
      </c>
      <c r="I260" s="39" t="n">
        <v>1</v>
      </c>
      <c r="J260" s="40"/>
      <c r="K260" s="40"/>
      <c r="L260" s="40" t="s">
        <v>656</v>
      </c>
      <c r="M260" s="40" t="str">
        <f aca="false">IF(OR(E260="אולם חתונות גדול",E260="מתחם רב-אולמי",I260&gt;=2,D260="מרכז",D260="שרון",D260="ירושלים והסביבה"),"גבוה","בינוני")</f>
        <v>בינוני</v>
      </c>
    </row>
    <row r="261" customFormat="false" ht="15" hidden="false" customHeight="false" outlineLevel="0" collapsed="false">
      <c r="B261" s="37" t="n">
        <v>245</v>
      </c>
      <c r="C261" s="30" t="s">
        <v>669</v>
      </c>
      <c r="D261" s="30" t="s">
        <v>343</v>
      </c>
      <c r="E261" s="30" t="s">
        <v>168</v>
      </c>
      <c r="F261" s="30" t="s">
        <v>144</v>
      </c>
      <c r="G261" s="38" t="s">
        <v>453</v>
      </c>
      <c r="H261" s="30" t="s">
        <v>180</v>
      </c>
      <c r="I261" s="37" t="n">
        <v>1</v>
      </c>
      <c r="J261" s="38"/>
      <c r="K261" s="38"/>
      <c r="L261" s="38" t="s">
        <v>656</v>
      </c>
      <c r="M261" s="38" t="str">
        <f aca="false">IF(OR(E261="אולם חתונות גדול",E261="מתחם רב-אולמי",I261&gt;=2,D261="מרכז",D261="שרון",D261="ירושלים והסביבה"),"גבוה","בינוני")</f>
        <v>בינוני</v>
      </c>
    </row>
    <row r="262" customFormat="false" ht="15" hidden="false" customHeight="false" outlineLevel="0" collapsed="false">
      <c r="B262" s="39" t="n">
        <v>246</v>
      </c>
      <c r="C262" s="32" t="s">
        <v>670</v>
      </c>
      <c r="D262" s="32" t="s">
        <v>264</v>
      </c>
      <c r="E262" s="32" t="s">
        <v>168</v>
      </c>
      <c r="F262" s="32" t="s">
        <v>144</v>
      </c>
      <c r="G262" s="40" t="s">
        <v>598</v>
      </c>
      <c r="H262" s="32" t="s">
        <v>180</v>
      </c>
      <c r="I262" s="39" t="n">
        <v>1</v>
      </c>
      <c r="J262" s="40"/>
      <c r="K262" s="40"/>
      <c r="L262" s="40" t="s">
        <v>656</v>
      </c>
      <c r="M262" s="40" t="str">
        <f aca="false">IF(OR(E262="אולם חתונות גדול",E262="מתחם רב-אולמי",I262&gt;=2,D262="מרכז",D262="שרון",D262="ירושלים והסביבה"),"גבוה","בינוני")</f>
        <v>בינוני</v>
      </c>
    </row>
    <row r="263" customFormat="false" ht="15" hidden="false" customHeight="false" outlineLevel="0" collapsed="false">
      <c r="B263" s="37" t="n">
        <v>247</v>
      </c>
      <c r="C263" s="30" t="s">
        <v>671</v>
      </c>
      <c r="D263" s="30" t="s">
        <v>245</v>
      </c>
      <c r="E263" s="30" t="s">
        <v>179</v>
      </c>
      <c r="F263" s="30" t="s">
        <v>143</v>
      </c>
      <c r="G263" s="38" t="s">
        <v>184</v>
      </c>
      <c r="H263" s="30" t="s">
        <v>180</v>
      </c>
      <c r="I263" s="37" t="n">
        <v>1</v>
      </c>
      <c r="J263" s="38"/>
      <c r="K263" s="38"/>
      <c r="L263" s="38" t="s">
        <v>656</v>
      </c>
      <c r="M263" s="38" t="str">
        <f aca="false">IF(OR(E263="אולם חתונות גדול",E263="מתחם רב-אולמי",I263&gt;=2,D263="מרכז",D263="שרון",D263="ירושלים והסביבה"),"גבוה","בינוני")</f>
        <v>בינוני</v>
      </c>
    </row>
    <row r="264" customFormat="false" ht="23.85" hidden="false" customHeight="false" outlineLevel="0" collapsed="false">
      <c r="B264" s="39" t="n">
        <v>248</v>
      </c>
      <c r="C264" s="32" t="s">
        <v>672</v>
      </c>
      <c r="D264" s="32" t="s">
        <v>673</v>
      </c>
      <c r="E264" s="32" t="s">
        <v>168</v>
      </c>
      <c r="F264" s="32" t="s">
        <v>148</v>
      </c>
      <c r="G264" s="40"/>
      <c r="H264" s="40"/>
      <c r="I264" s="39" t="n">
        <v>1</v>
      </c>
      <c r="J264" s="40"/>
      <c r="K264" s="40"/>
      <c r="L264" s="40" t="s">
        <v>494</v>
      </c>
      <c r="M264" s="40" t="str">
        <f aca="false">IF(OR(E264="אולם חתונות גדול",E264="מתחם רב-אולמי",I264&gt;=2,D264="מרכז",D264="שרון",D264="ירושלים והסביבה"),"גבוה","בינוני")</f>
        <v>בינוני</v>
      </c>
    </row>
    <row r="265" customFormat="false" ht="23.85" hidden="false" customHeight="false" outlineLevel="0" collapsed="false">
      <c r="B265" s="37" t="n">
        <v>249</v>
      </c>
      <c r="C265" s="30" t="s">
        <v>674</v>
      </c>
      <c r="D265" s="30" t="s">
        <v>675</v>
      </c>
      <c r="E265" s="30" t="s">
        <v>188</v>
      </c>
      <c r="F265" s="30" t="s">
        <v>148</v>
      </c>
      <c r="G265" s="38"/>
      <c r="H265" s="38"/>
      <c r="I265" s="37" t="n">
        <v>1</v>
      </c>
      <c r="J265" s="38"/>
      <c r="K265" s="38"/>
      <c r="L265" s="38" t="s">
        <v>494</v>
      </c>
      <c r="M265" s="38" t="str">
        <f aca="false">IF(OR(E265="אולם חתונות גדול",E265="מתחם רב-אולמי",I265&gt;=2,D265="מרכז",D265="שרון",D265="ירושלים והסביבה"),"גבוה","בינוני")</f>
        <v>בינוני</v>
      </c>
    </row>
    <row r="266" customFormat="false" ht="15" hidden="false" customHeight="false" outlineLevel="0" collapsed="false">
      <c r="B266" s="39" t="n">
        <v>250</v>
      </c>
      <c r="C266" s="32" t="s">
        <v>676</v>
      </c>
      <c r="D266" s="32" t="s">
        <v>264</v>
      </c>
      <c r="E266" s="32" t="s">
        <v>168</v>
      </c>
      <c r="F266" s="32" t="s">
        <v>144</v>
      </c>
      <c r="G266" s="40"/>
      <c r="H266" s="40"/>
      <c r="I266" s="39" t="n">
        <v>1</v>
      </c>
      <c r="J266" s="40"/>
      <c r="K266" s="40"/>
      <c r="L266" s="40" t="s">
        <v>562</v>
      </c>
      <c r="M266" s="40" t="str">
        <f aca="false">IF(OR(E266="אולם חתונות גדול",E266="מתחם רב-אולמי",I266&gt;=2,D266="מרכז",D266="שרון",D266="ירושלים והסביבה"),"גבוה","בינוני")</f>
        <v>בינוני</v>
      </c>
    </row>
    <row r="267" customFormat="false" ht="23.85" hidden="false" customHeight="false" outlineLevel="0" collapsed="false">
      <c r="B267" s="37" t="n">
        <v>251</v>
      </c>
      <c r="C267" s="30" t="s">
        <v>677</v>
      </c>
      <c r="D267" s="30" t="s">
        <v>678</v>
      </c>
      <c r="E267" s="30" t="s">
        <v>188</v>
      </c>
      <c r="F267" s="30" t="s">
        <v>148</v>
      </c>
      <c r="G267" s="38"/>
      <c r="H267" s="38"/>
      <c r="I267" s="37" t="n">
        <v>1</v>
      </c>
      <c r="J267" s="38"/>
      <c r="K267" s="38"/>
      <c r="L267" s="38" t="s">
        <v>679</v>
      </c>
      <c r="M267" s="38" t="str">
        <f aca="false">IF(OR(E267="אולם חתונות גדול",E267="מתחם רב-אולמי",I267&gt;=2,D267="מרכז",D267="שרון",D267="ירושלים והסביבה"),"גבוה","בינוני")</f>
        <v>בינוני</v>
      </c>
    </row>
    <row r="268" customFormat="false" ht="23.85" hidden="false" customHeight="false" outlineLevel="0" collapsed="false">
      <c r="B268" s="39" t="n">
        <v>252</v>
      </c>
      <c r="C268" s="32" t="s">
        <v>680</v>
      </c>
      <c r="D268" s="32" t="s">
        <v>681</v>
      </c>
      <c r="E268" s="32" t="s">
        <v>188</v>
      </c>
      <c r="F268" s="32" t="s">
        <v>148</v>
      </c>
      <c r="G268" s="40"/>
      <c r="H268" s="40"/>
      <c r="I268" s="39" t="n">
        <v>1</v>
      </c>
      <c r="J268" s="40"/>
      <c r="K268" s="40"/>
      <c r="L268" s="40" t="s">
        <v>562</v>
      </c>
      <c r="M268" s="40" t="str">
        <f aca="false">IF(OR(E268="אולם חתונות גדול",E268="מתחם רב-אולמי",I268&gt;=2,D268="מרכז",D268="שרון",D268="ירושלים והסביבה"),"גבוה","בינוני")</f>
        <v>בינוני</v>
      </c>
    </row>
    <row r="269" customFormat="false" ht="23.85" hidden="false" customHeight="false" outlineLevel="0" collapsed="false">
      <c r="B269" s="37" t="n">
        <v>253</v>
      </c>
      <c r="C269" s="30" t="s">
        <v>682</v>
      </c>
      <c r="D269" s="30" t="s">
        <v>683</v>
      </c>
      <c r="E269" s="30" t="s">
        <v>188</v>
      </c>
      <c r="F269" s="30" t="s">
        <v>148</v>
      </c>
      <c r="G269" s="38"/>
      <c r="H269" s="38"/>
      <c r="I269" s="37" t="n">
        <v>1</v>
      </c>
      <c r="J269" s="38"/>
      <c r="K269" s="38"/>
      <c r="L269" s="38" t="s">
        <v>562</v>
      </c>
      <c r="M269" s="38" t="str">
        <f aca="false">IF(OR(E269="אולם חתונות גדול",E269="מתחם רב-אולמי",I269&gt;=2,D269="מרכז",D269="שרון",D269="ירושלים והסביבה"),"גבוה","בינוני")</f>
        <v>בינוני</v>
      </c>
    </row>
    <row r="270" customFormat="false" ht="15" hidden="false" customHeight="false" outlineLevel="0" collapsed="false">
      <c r="B270" s="39" t="n">
        <v>254</v>
      </c>
      <c r="C270" s="32" t="s">
        <v>684</v>
      </c>
      <c r="D270" s="32" t="s">
        <v>685</v>
      </c>
      <c r="E270" s="32" t="s">
        <v>188</v>
      </c>
      <c r="F270" s="32" t="s">
        <v>142</v>
      </c>
      <c r="G270" s="40"/>
      <c r="H270" s="40"/>
      <c r="I270" s="39" t="n">
        <v>1</v>
      </c>
      <c r="J270" s="40"/>
      <c r="K270" s="40"/>
      <c r="L270" s="40" t="s">
        <v>562</v>
      </c>
      <c r="M270" s="40" t="str">
        <f aca="false">IF(OR(E270="אולם חתונות גדול",E270="מתחם רב-אולמי",I270&gt;=2,D270="מרכז",D270="שרון",D270="ירושלים והסביבה"),"גבוה","בינוני")</f>
        <v>בינוני</v>
      </c>
    </row>
    <row r="271" customFormat="false" ht="15" hidden="false" customHeight="false" outlineLevel="0" collapsed="false">
      <c r="B271" s="37" t="n">
        <v>255</v>
      </c>
      <c r="C271" s="30" t="s">
        <v>686</v>
      </c>
      <c r="D271" s="30" t="s">
        <v>687</v>
      </c>
      <c r="E271" s="30" t="s">
        <v>188</v>
      </c>
      <c r="F271" s="30" t="s">
        <v>142</v>
      </c>
      <c r="G271" s="38"/>
      <c r="H271" s="38"/>
      <c r="I271" s="37" t="n">
        <v>1</v>
      </c>
      <c r="J271" s="38"/>
      <c r="K271" s="38"/>
      <c r="L271" s="38" t="s">
        <v>562</v>
      </c>
      <c r="M271" s="38" t="str">
        <f aca="false">IF(OR(E271="אולם חתונות גדול",E271="מתחם רב-אולמי",I271&gt;=2,D271="מרכז",D271="שרון",D271="ירושלים והסביבה"),"גבוה","בינוני")</f>
        <v>בינוני</v>
      </c>
    </row>
    <row r="272" customFormat="false" ht="15" hidden="false" customHeight="false" outlineLevel="0" collapsed="false">
      <c r="B272" s="39" t="n">
        <v>256</v>
      </c>
      <c r="C272" s="32" t="s">
        <v>688</v>
      </c>
      <c r="D272" s="32" t="s">
        <v>188</v>
      </c>
      <c r="E272" s="32" t="s">
        <v>188</v>
      </c>
      <c r="F272" s="32" t="s">
        <v>142</v>
      </c>
      <c r="G272" s="40"/>
      <c r="H272" s="40"/>
      <c r="I272" s="39" t="n">
        <v>1</v>
      </c>
      <c r="J272" s="40"/>
      <c r="K272" s="40"/>
      <c r="L272" s="40" t="s">
        <v>689</v>
      </c>
      <c r="M272" s="40" t="str">
        <f aca="false">IF(OR(E272="אולם חתונות גדול",E272="מתחם רב-אולמי",I272&gt;=2,D272="מרכז",D272="שרון",D272="ירושלים והסביבה"),"גבוה","בינוני")</f>
        <v>בינוני</v>
      </c>
    </row>
    <row r="273" customFormat="false" ht="23.85" hidden="false" customHeight="false" outlineLevel="0" collapsed="false">
      <c r="B273" s="37" t="n">
        <v>257</v>
      </c>
      <c r="C273" s="30" t="s">
        <v>690</v>
      </c>
      <c r="D273" s="30" t="s">
        <v>207</v>
      </c>
      <c r="E273" s="30" t="s">
        <v>188</v>
      </c>
      <c r="F273" s="30" t="s">
        <v>148</v>
      </c>
      <c r="G273" s="38"/>
      <c r="H273" s="38"/>
      <c r="I273" s="37" t="n">
        <v>1</v>
      </c>
      <c r="J273" s="38"/>
      <c r="K273" s="38"/>
      <c r="L273" s="38" t="s">
        <v>689</v>
      </c>
      <c r="M273" s="38" t="str">
        <f aca="false">IF(OR(E273="אולם חתונות גדול",E273="מתחם רב-אולמי",I273&gt;=2,D273="מרכז",D273="שרון",D273="ירושלים והסביבה"),"גבוה","בינוני")</f>
        <v>בינוני</v>
      </c>
    </row>
    <row r="274" customFormat="false" ht="15" hidden="false" customHeight="false" outlineLevel="0" collapsed="false">
      <c r="B274" s="39" t="n">
        <v>258</v>
      </c>
      <c r="C274" s="32" t="s">
        <v>691</v>
      </c>
      <c r="D274" s="32" t="s">
        <v>436</v>
      </c>
      <c r="E274" s="32" t="s">
        <v>188</v>
      </c>
      <c r="F274" s="32" t="s">
        <v>145</v>
      </c>
      <c r="G274" s="40"/>
      <c r="H274" s="40"/>
      <c r="I274" s="39" t="n">
        <v>1</v>
      </c>
      <c r="J274" s="40" t="s">
        <v>437</v>
      </c>
      <c r="K274" s="40"/>
      <c r="L274" s="40" t="s">
        <v>438</v>
      </c>
      <c r="M274" s="40" t="str">
        <f aca="false">IF(OR(E274="אולם חתונות גדול",E274="מתחם רב-אולמי",I274&gt;=2,D274="מרכז",D274="שרון",D274="ירושלים והסביבה"),"גבוה","בינוני")</f>
        <v>בינוני</v>
      </c>
    </row>
    <row r="275" customFormat="false" ht="15" hidden="false" customHeight="false" outlineLevel="0" collapsed="false">
      <c r="B275" s="37" t="n">
        <v>259</v>
      </c>
      <c r="C275" s="38" t="s">
        <v>692</v>
      </c>
      <c r="D275" s="30" t="s">
        <v>693</v>
      </c>
      <c r="E275" s="30" t="s">
        <v>188</v>
      </c>
      <c r="F275" s="30" t="s">
        <v>142</v>
      </c>
      <c r="G275" s="38"/>
      <c r="H275" s="38"/>
      <c r="I275" s="37" t="n">
        <v>1</v>
      </c>
      <c r="J275" s="38"/>
      <c r="K275" s="38"/>
      <c r="L275" s="38" t="s">
        <v>438</v>
      </c>
      <c r="M275" s="38" t="str">
        <f aca="false">IF(OR(E275="אולם חתונות גדול",E275="מתחם רב-אולמי",I275&gt;=2,D275="מרכז",D275="שרון",D275="ירושלים והסביבה"),"גבוה","בינוני")</f>
        <v>בינוני</v>
      </c>
    </row>
    <row r="276" customFormat="false" ht="23.85" hidden="false" customHeight="false" outlineLevel="0" collapsed="false">
      <c r="B276" s="39" t="n">
        <v>260</v>
      </c>
      <c r="C276" s="32" t="s">
        <v>694</v>
      </c>
      <c r="D276" s="32" t="s">
        <v>188</v>
      </c>
      <c r="E276" s="32" t="s">
        <v>188</v>
      </c>
      <c r="F276" s="32" t="s">
        <v>148</v>
      </c>
      <c r="G276" s="40"/>
      <c r="H276" s="40"/>
      <c r="I276" s="39" t="n">
        <v>1</v>
      </c>
      <c r="J276" s="40"/>
      <c r="K276" s="40"/>
      <c r="L276" s="40" t="s">
        <v>689</v>
      </c>
      <c r="M276" s="40" t="str">
        <f aca="false">IF(OR(E276="אולם חתונות גדול",E276="מתחם רב-אולמי",I276&gt;=2,D276="מרכז",D276="שרון",D276="ירושלים והסביבה"),"גבוה","בינוני")</f>
        <v>בינוני</v>
      </c>
    </row>
    <row r="277" customFormat="false" ht="15" hidden="false" customHeight="false" outlineLevel="0" collapsed="false">
      <c r="B277" s="37" t="n">
        <v>261</v>
      </c>
      <c r="C277" s="30" t="s">
        <v>695</v>
      </c>
      <c r="D277" s="30" t="s">
        <v>696</v>
      </c>
      <c r="E277" s="30" t="s">
        <v>188</v>
      </c>
      <c r="F277" s="30" t="s">
        <v>143</v>
      </c>
      <c r="G277" s="38"/>
      <c r="H277" s="38"/>
      <c r="I277" s="37" t="n">
        <v>1</v>
      </c>
      <c r="J277" s="38"/>
      <c r="K277" s="38"/>
      <c r="L277" s="38" t="s">
        <v>458</v>
      </c>
      <c r="M277" s="38" t="str">
        <f aca="false">IF(OR(E277="אולם חתונות גדול",E277="מתחם רב-אולמי",I277&gt;=2,D277="מרכז",D277="שרון",D277="ירושלים והסביבה"),"גבוה","בינוני")</f>
        <v>בינוני</v>
      </c>
    </row>
    <row r="278" customFormat="false" ht="15" hidden="false" customHeight="false" outlineLevel="0" collapsed="false">
      <c r="B278" s="39" t="n">
        <v>262</v>
      </c>
      <c r="C278" s="32" t="s">
        <v>697</v>
      </c>
      <c r="D278" s="32" t="s">
        <v>323</v>
      </c>
      <c r="E278" s="32" t="s">
        <v>175</v>
      </c>
      <c r="F278" s="32" t="s">
        <v>142</v>
      </c>
      <c r="G278" s="40"/>
      <c r="H278" s="40"/>
      <c r="I278" s="39" t="n">
        <v>1</v>
      </c>
      <c r="J278" s="40"/>
      <c r="K278" s="40"/>
      <c r="L278" s="40" t="s">
        <v>165</v>
      </c>
      <c r="M278" s="40" t="str">
        <f aca="false">IF(OR(E278="אולם חתונות גדול",E278="מתחם רב-אולמי",I278&gt;=2,D278="מרכז",D278="שרון",D278="ירושלים והסביבה"),"גבוה","בינוני")</f>
        <v>בינוני</v>
      </c>
    </row>
    <row r="279" customFormat="false" ht="15" hidden="false" customHeight="false" outlineLevel="0" collapsed="false">
      <c r="B279" s="37" t="n">
        <v>263</v>
      </c>
      <c r="C279" s="30" t="s">
        <v>698</v>
      </c>
      <c r="D279" s="30" t="s">
        <v>323</v>
      </c>
      <c r="E279" s="30" t="s">
        <v>175</v>
      </c>
      <c r="F279" s="30" t="s">
        <v>142</v>
      </c>
      <c r="G279" s="38"/>
      <c r="H279" s="38"/>
      <c r="I279" s="37" t="n">
        <v>1</v>
      </c>
      <c r="J279" s="38"/>
      <c r="K279" s="38"/>
      <c r="L279" s="38" t="s">
        <v>165</v>
      </c>
      <c r="M279" s="38" t="str">
        <f aca="false">IF(OR(E279="אולם חתונות גדול",E279="מתחם רב-אולמי",I279&gt;=2,D279="מרכז",D279="שרון",D279="ירושלים והסביבה"),"גבוה","בינוני")</f>
        <v>בינוני</v>
      </c>
    </row>
    <row r="280" customFormat="false" ht="15" hidden="false" customHeight="false" outlineLevel="0" collapsed="false">
      <c r="B280" s="39" t="n">
        <v>264</v>
      </c>
      <c r="C280" s="32" t="s">
        <v>699</v>
      </c>
      <c r="D280" s="32" t="s">
        <v>590</v>
      </c>
      <c r="E280" s="32" t="s">
        <v>168</v>
      </c>
      <c r="F280" s="32" t="s">
        <v>142</v>
      </c>
      <c r="G280" s="40"/>
      <c r="H280" s="40"/>
      <c r="I280" s="39" t="n">
        <v>1</v>
      </c>
      <c r="J280" s="40"/>
      <c r="K280" s="40"/>
      <c r="L280" s="40" t="s">
        <v>165</v>
      </c>
      <c r="M280" s="40" t="str">
        <f aca="false">IF(OR(E280="אולם חתונות גדול",E280="מתחם רב-אולמי",I280&gt;=2,D280="מרכז",D280="שרון",D280="ירושלים והסביבה"),"גבוה","בינוני")</f>
        <v>בינוני</v>
      </c>
    </row>
    <row r="281" customFormat="false" ht="15" hidden="false" customHeight="false" outlineLevel="0" collapsed="false">
      <c r="B281" s="37" t="n">
        <v>265</v>
      </c>
      <c r="C281" s="30" t="s">
        <v>700</v>
      </c>
      <c r="D281" s="30" t="s">
        <v>701</v>
      </c>
      <c r="E281" s="30" t="s">
        <v>168</v>
      </c>
      <c r="F281" s="30" t="s">
        <v>142</v>
      </c>
      <c r="G281" s="38"/>
      <c r="H281" s="38"/>
      <c r="I281" s="37" t="n">
        <v>1</v>
      </c>
      <c r="J281" s="38"/>
      <c r="K281" s="38"/>
      <c r="L281" s="38" t="s">
        <v>165</v>
      </c>
      <c r="M281" s="38" t="str">
        <f aca="false">IF(OR(E281="אולם חתונות גדול",E281="מתחם רב-אולמי",I281&gt;=2,D281="מרכז",D281="שרון",D281="ירושלים והסביבה"),"גבוה","בינוני")</f>
        <v>בינוני</v>
      </c>
    </row>
    <row r="282" customFormat="false" ht="15" hidden="false" customHeight="false" outlineLevel="0" collapsed="false">
      <c r="B282" s="39" t="n">
        <v>266</v>
      </c>
      <c r="C282" s="32" t="s">
        <v>702</v>
      </c>
      <c r="D282" s="32" t="s">
        <v>703</v>
      </c>
      <c r="E282" s="32" t="s">
        <v>179</v>
      </c>
      <c r="F282" s="32" t="s">
        <v>143</v>
      </c>
      <c r="G282" s="40"/>
      <c r="H282" s="40"/>
      <c r="I282" s="39" t="n">
        <v>1</v>
      </c>
      <c r="J282" s="40"/>
      <c r="K282" s="40"/>
      <c r="L282" s="40" t="s">
        <v>165</v>
      </c>
      <c r="M282" s="40" t="str">
        <f aca="false">IF(OR(E282="אולם חתונות גדול",E282="מתחם רב-אולמי",I282&gt;=2,D282="מרכז",D282="שרון",D282="ירושלים והסביבה"),"גבוה","בינוני")</f>
        <v>בינוני</v>
      </c>
    </row>
    <row r="283" customFormat="false" ht="15" hidden="false" customHeight="false" outlineLevel="0" collapsed="false">
      <c r="B283" s="37" t="n">
        <v>267</v>
      </c>
      <c r="C283" s="30" t="s">
        <v>704</v>
      </c>
      <c r="D283" s="30" t="s">
        <v>323</v>
      </c>
      <c r="E283" s="30" t="s">
        <v>175</v>
      </c>
      <c r="F283" s="30" t="s">
        <v>142</v>
      </c>
      <c r="G283" s="38"/>
      <c r="H283" s="38"/>
      <c r="I283" s="37" t="n">
        <v>1</v>
      </c>
      <c r="J283" s="38"/>
      <c r="K283" s="38"/>
      <c r="L283" s="38" t="s">
        <v>165</v>
      </c>
      <c r="M283" s="38" t="str">
        <f aca="false">IF(OR(E283="אולם חתונות גדול",E283="מתחם רב-אולמי",I283&gt;=2,D283="מרכז",D283="שרון",D283="ירושלים והסביבה"),"גבוה","בינוני")</f>
        <v>בינוני</v>
      </c>
    </row>
    <row r="284" customFormat="false" ht="15" hidden="false" customHeight="false" outlineLevel="0" collapsed="false">
      <c r="B284" s="39" t="n">
        <v>268</v>
      </c>
      <c r="C284" s="32" t="s">
        <v>705</v>
      </c>
      <c r="D284" s="32" t="s">
        <v>179</v>
      </c>
      <c r="E284" s="32" t="s">
        <v>179</v>
      </c>
      <c r="F284" s="32" t="s">
        <v>144</v>
      </c>
      <c r="G284" s="40"/>
      <c r="H284" s="40"/>
      <c r="I284" s="39" t="n">
        <v>1</v>
      </c>
      <c r="J284" s="40"/>
      <c r="K284" s="40"/>
      <c r="L284" s="40" t="s">
        <v>165</v>
      </c>
      <c r="M284" s="40" t="str">
        <f aca="false">IF(OR(E284="אולם חתונות גדול",E284="מתחם רב-אולמי",I284&gt;=2,D284="מרכז",D284="שרון",D284="ירושלים והסביבה"),"גבוה","בינוני")</f>
        <v>גבוה</v>
      </c>
    </row>
    <row r="285" customFormat="false" ht="15" hidden="false" customHeight="false" outlineLevel="0" collapsed="false">
      <c r="B285" s="37" t="n">
        <v>269</v>
      </c>
      <c r="C285" s="38" t="s">
        <v>706</v>
      </c>
      <c r="D285" s="30" t="s">
        <v>612</v>
      </c>
      <c r="E285" s="30" t="s">
        <v>168</v>
      </c>
      <c r="F285" s="30" t="s">
        <v>146</v>
      </c>
      <c r="G285" s="38"/>
      <c r="H285" s="38"/>
      <c r="I285" s="37" t="n">
        <v>1</v>
      </c>
      <c r="J285" s="38"/>
      <c r="K285" s="38"/>
      <c r="L285" s="38" t="s">
        <v>165</v>
      </c>
      <c r="M285" s="38" t="str">
        <f aca="false">IF(OR(E285="אולם חתונות גדול",E285="מתחם רב-אולמי",I285&gt;=2,D285="מרכז",D285="שרון",D285="ירושלים והסביבה"),"גבוה","בינוני")</f>
        <v>בינוני</v>
      </c>
    </row>
    <row r="286" customFormat="false" ht="15" hidden="false" customHeight="false" outlineLevel="0" collapsed="false">
      <c r="B286" s="39" t="n">
        <v>270</v>
      </c>
      <c r="C286" s="32" t="s">
        <v>707</v>
      </c>
      <c r="D286" s="32" t="s">
        <v>612</v>
      </c>
      <c r="E286" s="32" t="s">
        <v>168</v>
      </c>
      <c r="F286" s="32" t="s">
        <v>146</v>
      </c>
      <c r="G286" s="40"/>
      <c r="H286" s="40"/>
      <c r="I286" s="39" t="n">
        <v>1</v>
      </c>
      <c r="J286" s="40" t="s">
        <v>708</v>
      </c>
      <c r="K286" s="40"/>
      <c r="L286" s="40" t="s">
        <v>165</v>
      </c>
      <c r="M286" s="40" t="str">
        <f aca="false">IF(OR(E286="אולם חתונות גדול",E286="מתחם רב-אולמי",I286&gt;=2,D286="מרכז",D286="שרון",D286="ירושלים והסביבה"),"גבוה","בינוני")</f>
        <v>בינוני</v>
      </c>
    </row>
    <row r="287" customFormat="false" ht="15" hidden="false" customHeight="false" outlineLevel="0" collapsed="false">
      <c r="B287" s="37" t="n">
        <v>271</v>
      </c>
      <c r="C287" s="38" t="s">
        <v>709</v>
      </c>
      <c r="D287" s="30" t="s">
        <v>612</v>
      </c>
      <c r="E287" s="30" t="s">
        <v>168</v>
      </c>
      <c r="F287" s="30" t="s">
        <v>144</v>
      </c>
      <c r="G287" s="38"/>
      <c r="H287" s="38"/>
      <c r="I287" s="37" t="n">
        <v>1</v>
      </c>
      <c r="J287" s="38"/>
      <c r="K287" s="38"/>
      <c r="L287" s="38" t="s">
        <v>458</v>
      </c>
      <c r="M287" s="38" t="str">
        <f aca="false">IF(OR(E287="אולם חתונות גדול",E287="מתחם רב-אולמי",I287&gt;=2,D287="מרכז",D287="שרון",D287="ירושלים והסביבה"),"גבוה","בינוני")</f>
        <v>בינוני</v>
      </c>
    </row>
    <row r="288" customFormat="false" ht="15" hidden="false" customHeight="false" outlineLevel="0" collapsed="false">
      <c r="B288" s="39" t="n">
        <v>272</v>
      </c>
      <c r="C288" s="32" t="s">
        <v>710</v>
      </c>
      <c r="D288" s="32" t="s">
        <v>212</v>
      </c>
      <c r="E288" s="32" t="s">
        <v>168</v>
      </c>
      <c r="F288" s="32" t="s">
        <v>144</v>
      </c>
      <c r="G288" s="40"/>
      <c r="H288" s="40"/>
      <c r="I288" s="39" t="n">
        <v>1</v>
      </c>
      <c r="J288" s="40" t="s">
        <v>711</v>
      </c>
      <c r="K288" s="40"/>
      <c r="L288" s="40" t="s">
        <v>165</v>
      </c>
      <c r="M288" s="40" t="str">
        <f aca="false">IF(OR(E288="אולם חתונות גדול",E288="מתחם רב-אולמי",I288&gt;=2,D288="מרכז",D288="שרון",D288="ירושלים והסביבה"),"גבוה","בינוני")</f>
        <v>בינוני</v>
      </c>
    </row>
    <row r="289" customFormat="false" ht="15" hidden="false" customHeight="false" outlineLevel="0" collapsed="false">
      <c r="B289" s="37" t="n">
        <v>273</v>
      </c>
      <c r="C289" s="30" t="s">
        <v>712</v>
      </c>
      <c r="D289" s="30" t="s">
        <v>323</v>
      </c>
      <c r="E289" s="30" t="s">
        <v>175</v>
      </c>
      <c r="F289" s="30" t="s">
        <v>146</v>
      </c>
      <c r="G289" s="38"/>
      <c r="H289" s="38"/>
      <c r="I289" s="37" t="n">
        <v>1</v>
      </c>
      <c r="J289" s="38"/>
      <c r="K289" s="38"/>
      <c r="L289" s="38" t="s">
        <v>713</v>
      </c>
      <c r="M289" s="38" t="str">
        <f aca="false">IF(OR(E289="אולם חתונות גדול",E289="מתחם רב-אולמי",I289&gt;=2,D289="מרכז",D289="שרון",D289="ירושלים והסביבה"),"גבוה","בינוני")</f>
        <v>בינוני</v>
      </c>
    </row>
    <row r="290" customFormat="false" ht="15" hidden="false" customHeight="false" outlineLevel="0" collapsed="false">
      <c r="B290" s="39" t="n">
        <v>274</v>
      </c>
      <c r="C290" s="40" t="s">
        <v>714</v>
      </c>
      <c r="D290" s="32" t="s">
        <v>612</v>
      </c>
      <c r="E290" s="32" t="s">
        <v>168</v>
      </c>
      <c r="F290" s="32" t="s">
        <v>146</v>
      </c>
      <c r="G290" s="40"/>
      <c r="H290" s="40"/>
      <c r="I290" s="39" t="n">
        <v>1</v>
      </c>
      <c r="J290" s="40"/>
      <c r="K290" s="40"/>
      <c r="L290" s="40" t="s">
        <v>713</v>
      </c>
      <c r="M290" s="40" t="str">
        <f aca="false">IF(OR(E290="אולם חתונות גדול",E290="מתחם רב-אולמי",I290&gt;=2,D290="מרכז",D290="שרון",D290="ירושלים והסביבה"),"גבוה","בינוני")</f>
        <v>בינוני</v>
      </c>
    </row>
    <row r="291" customFormat="false" ht="15" hidden="false" customHeight="false" outlineLevel="0" collapsed="false">
      <c r="B291" s="37" t="n">
        <v>275</v>
      </c>
      <c r="C291" s="30" t="s">
        <v>715</v>
      </c>
      <c r="D291" s="30" t="s">
        <v>612</v>
      </c>
      <c r="E291" s="30" t="s">
        <v>168</v>
      </c>
      <c r="F291" s="30" t="s">
        <v>146</v>
      </c>
      <c r="G291" s="38"/>
      <c r="H291" s="38"/>
      <c r="I291" s="37" t="n">
        <v>1</v>
      </c>
      <c r="J291" s="38"/>
      <c r="K291" s="38"/>
      <c r="L291" s="38" t="s">
        <v>713</v>
      </c>
      <c r="M291" s="38" t="str">
        <f aca="false">IF(OR(E291="אולם חתונות גדול",E291="מתחם רב-אולמי",I291&gt;=2,D291="מרכז",D291="שרון",D291="ירושלים והסביבה"),"גבוה","בינוני")</f>
        <v>בינוני</v>
      </c>
    </row>
    <row r="292" customFormat="false" ht="15" hidden="false" customHeight="false" outlineLevel="0" collapsed="false">
      <c r="B292" s="39" t="n">
        <v>276</v>
      </c>
      <c r="C292" s="32" t="s">
        <v>716</v>
      </c>
      <c r="D292" s="32" t="s">
        <v>612</v>
      </c>
      <c r="E292" s="32" t="s">
        <v>168</v>
      </c>
      <c r="F292" s="32" t="s">
        <v>143</v>
      </c>
      <c r="G292" s="40"/>
      <c r="H292" s="40"/>
      <c r="I292" s="39" t="n">
        <v>1</v>
      </c>
      <c r="J292" s="40"/>
      <c r="K292" s="40"/>
      <c r="L292" s="40" t="s">
        <v>713</v>
      </c>
      <c r="M292" s="40" t="str">
        <f aca="false">IF(OR(E292="אולם חתונות גדול",E292="מתחם רב-אולמי",I292&gt;=2,D292="מרכז",D292="שרון",D292="ירושלים והסביבה"),"גבוה","בינוני")</f>
        <v>בינוני</v>
      </c>
    </row>
    <row r="293" customFormat="false" ht="15" hidden="false" customHeight="false" outlineLevel="0" collapsed="false">
      <c r="B293" s="37" t="n">
        <v>277</v>
      </c>
      <c r="C293" s="30" t="s">
        <v>717</v>
      </c>
      <c r="D293" s="30" t="s">
        <v>612</v>
      </c>
      <c r="E293" s="30" t="s">
        <v>168</v>
      </c>
      <c r="F293" s="30" t="s">
        <v>143</v>
      </c>
      <c r="G293" s="38"/>
      <c r="H293" s="38"/>
      <c r="I293" s="37" t="n">
        <v>1</v>
      </c>
      <c r="J293" s="38"/>
      <c r="K293" s="38"/>
      <c r="L293" s="38" t="s">
        <v>713</v>
      </c>
      <c r="M293" s="38" t="str">
        <f aca="false">IF(OR(E293="אולם חתונות גדול",E293="מתחם רב-אולמי",I293&gt;=2,D293="מרכז",D293="שרון",D293="ירושלים והסביבה"),"גבוה","בינוני")</f>
        <v>בינוני</v>
      </c>
    </row>
    <row r="294" customFormat="false" ht="15" hidden="false" customHeight="false" outlineLevel="0" collapsed="false">
      <c r="B294" s="39" t="n">
        <v>278</v>
      </c>
      <c r="C294" s="32" t="s">
        <v>718</v>
      </c>
      <c r="D294" s="32" t="s">
        <v>614</v>
      </c>
      <c r="E294" s="32" t="s">
        <v>168</v>
      </c>
      <c r="F294" s="32" t="s">
        <v>146</v>
      </c>
      <c r="G294" s="40"/>
      <c r="H294" s="40"/>
      <c r="I294" s="39" t="n">
        <v>1</v>
      </c>
      <c r="J294" s="40"/>
      <c r="K294" s="40"/>
      <c r="L294" s="40" t="s">
        <v>713</v>
      </c>
      <c r="M294" s="40" t="str">
        <f aca="false">IF(OR(E294="אולם חתונות גדול",E294="מתחם רב-אולמי",I294&gt;=2,D294="מרכז",D294="שרון",D294="ירושלים והסביבה"),"גבוה","בינוני")</f>
        <v>בינוני</v>
      </c>
    </row>
    <row r="295" customFormat="false" ht="15" hidden="false" customHeight="false" outlineLevel="0" collapsed="false">
      <c r="B295" s="37" t="n">
        <v>279</v>
      </c>
      <c r="C295" s="30" t="s">
        <v>719</v>
      </c>
      <c r="D295" s="30" t="s">
        <v>614</v>
      </c>
      <c r="E295" s="30" t="s">
        <v>168</v>
      </c>
      <c r="F295" s="30" t="s">
        <v>146</v>
      </c>
      <c r="G295" s="38"/>
      <c r="H295" s="38"/>
      <c r="I295" s="37" t="n">
        <v>1</v>
      </c>
      <c r="J295" s="38"/>
      <c r="K295" s="38"/>
      <c r="L295" s="38" t="s">
        <v>562</v>
      </c>
      <c r="M295" s="38" t="str">
        <f aca="false">IF(OR(E295="אולם חתונות גדול",E295="מתחם רב-אולמי",I295&gt;=2,D295="מרכז",D295="שרון",D295="ירושלים והסביבה"),"גבוה","בינוני")</f>
        <v>בינוני</v>
      </c>
    </row>
    <row r="296" customFormat="false" ht="23.85" hidden="false" customHeight="false" outlineLevel="0" collapsed="false">
      <c r="B296" s="39" t="n">
        <v>280</v>
      </c>
      <c r="C296" s="40" t="s">
        <v>720</v>
      </c>
      <c r="D296" s="32" t="s">
        <v>304</v>
      </c>
      <c r="E296" s="32" t="s">
        <v>179</v>
      </c>
      <c r="F296" s="32" t="s">
        <v>148</v>
      </c>
      <c r="G296" s="40"/>
      <c r="H296" s="40"/>
      <c r="I296" s="39" t="n">
        <v>1</v>
      </c>
      <c r="J296" s="40"/>
      <c r="K296" s="40"/>
      <c r="L296" s="40" t="s">
        <v>444</v>
      </c>
      <c r="M296" s="40" t="str">
        <f aca="false">IF(OR(E296="אולם חתונות גדול",E296="מתחם רב-אולמי",I296&gt;=2,D296="מרכז",D296="שרון",D296="ירושלים והסביבה"),"גבוה","בינוני")</f>
        <v>בינוני</v>
      </c>
    </row>
    <row r="297" customFormat="false" ht="15" hidden="false" customHeight="false" outlineLevel="0" collapsed="false">
      <c r="B297" s="37" t="n">
        <v>281</v>
      </c>
      <c r="C297" s="38" t="s">
        <v>721</v>
      </c>
      <c r="D297" s="30" t="s">
        <v>196</v>
      </c>
      <c r="E297" s="30" t="s">
        <v>179</v>
      </c>
      <c r="F297" s="30" t="s">
        <v>144</v>
      </c>
      <c r="G297" s="38"/>
      <c r="H297" s="38"/>
      <c r="I297" s="37" t="n">
        <v>1</v>
      </c>
      <c r="J297" s="38"/>
      <c r="K297" s="38"/>
      <c r="L297" s="38" t="s">
        <v>444</v>
      </c>
      <c r="M297" s="38" t="str">
        <f aca="false">IF(OR(E297="אולם חתונות גדול",E297="מתחם רב-אולמי",I297&gt;=2,D297="מרכז",D297="שרון",D297="ירושלים והסביבה"),"גבוה","בינוני")</f>
        <v>בינוני</v>
      </c>
    </row>
    <row r="298" customFormat="false" ht="23.85" hidden="false" customHeight="false" outlineLevel="0" collapsed="false">
      <c r="B298" s="39" t="n">
        <v>282</v>
      </c>
      <c r="C298" s="32" t="s">
        <v>722</v>
      </c>
      <c r="D298" s="32" t="s">
        <v>723</v>
      </c>
      <c r="E298" s="32" t="s">
        <v>188</v>
      </c>
      <c r="F298" s="32" t="s">
        <v>148</v>
      </c>
      <c r="G298" s="40"/>
      <c r="H298" s="40"/>
      <c r="I298" s="39" t="n">
        <v>1</v>
      </c>
      <c r="J298" s="40"/>
      <c r="K298" s="40"/>
      <c r="L298" s="40" t="s">
        <v>458</v>
      </c>
      <c r="M298" s="40" t="str">
        <f aca="false">IF(OR(E298="אולם חתונות גדול",E298="מתחם רב-אולמי",I298&gt;=2,D298="מרכז",D298="שרון",D298="ירושלים והסביבה"),"גבוה","בינוני")</f>
        <v>בינוני</v>
      </c>
    </row>
    <row r="299" customFormat="false" ht="15" hidden="false" customHeight="false" outlineLevel="0" collapsed="false">
      <c r="B299" s="37" t="n">
        <v>283</v>
      </c>
      <c r="C299" s="30" t="s">
        <v>724</v>
      </c>
      <c r="D299" s="30" t="s">
        <v>725</v>
      </c>
      <c r="E299" s="30" t="s">
        <v>188</v>
      </c>
      <c r="F299" s="30" t="s">
        <v>143</v>
      </c>
      <c r="G299" s="38"/>
      <c r="H299" s="38"/>
      <c r="I299" s="37" t="n">
        <v>1</v>
      </c>
      <c r="J299" s="38"/>
      <c r="K299" s="38"/>
      <c r="L299" s="38" t="s">
        <v>458</v>
      </c>
      <c r="M299" s="38" t="str">
        <f aca="false">IF(OR(E299="אולם חתונות גדול",E299="מתחם רב-אולמי",I299&gt;=2,D299="מרכז",D299="שרון",D299="ירושלים והסביבה"),"גבוה","בינוני")</f>
        <v>בינוני</v>
      </c>
    </row>
    <row r="300" customFormat="false" ht="15" hidden="false" customHeight="false" outlineLevel="0" collapsed="false">
      <c r="B300" s="39" t="n">
        <v>284</v>
      </c>
      <c r="C300" s="32" t="s">
        <v>726</v>
      </c>
      <c r="D300" s="32" t="s">
        <v>727</v>
      </c>
      <c r="E300" s="32" t="s">
        <v>188</v>
      </c>
      <c r="F300" s="32" t="s">
        <v>142</v>
      </c>
      <c r="G300" s="40"/>
      <c r="H300" s="40"/>
      <c r="I300" s="39" t="n">
        <v>1</v>
      </c>
      <c r="J300" s="40"/>
      <c r="K300" s="40"/>
      <c r="L300" s="40" t="s">
        <v>458</v>
      </c>
      <c r="M300" s="40" t="str">
        <f aca="false">IF(OR(E300="אולם חתונות גדול",E300="מתחם רב-אולמי",I300&gt;=2,D300="מרכז",D300="שרון",D300="ירושלים והסביבה"),"גבוה","בינוני")</f>
        <v>בינוני</v>
      </c>
    </row>
    <row r="301" customFormat="false" ht="15" hidden="false" customHeight="false" outlineLevel="0" collapsed="false">
      <c r="B301" s="37" t="n">
        <v>285</v>
      </c>
      <c r="C301" s="30" t="s">
        <v>728</v>
      </c>
      <c r="D301" s="30" t="s">
        <v>187</v>
      </c>
      <c r="E301" s="30" t="s">
        <v>188</v>
      </c>
      <c r="F301" s="30" t="s">
        <v>142</v>
      </c>
      <c r="G301" s="38"/>
      <c r="H301" s="38"/>
      <c r="I301" s="37" t="n">
        <v>1</v>
      </c>
      <c r="J301" s="38"/>
      <c r="K301" s="38"/>
      <c r="L301" s="38" t="s">
        <v>458</v>
      </c>
      <c r="M301" s="38" t="str">
        <f aca="false">IF(OR(E301="אולם חתונות גדול",E301="מתחם רב-אולמי",I301&gt;=2,D301="מרכז",D301="שרון",D301="ירושלים והסביבה"),"גבוה","בינוני")</f>
        <v>בינוני</v>
      </c>
    </row>
    <row r="302" customFormat="false" ht="15" hidden="false" customHeight="false" outlineLevel="0" collapsed="false">
      <c r="B302" s="39" t="n">
        <v>286</v>
      </c>
      <c r="C302" s="40" t="s">
        <v>729</v>
      </c>
      <c r="D302" s="32" t="s">
        <v>187</v>
      </c>
      <c r="E302" s="32" t="s">
        <v>188</v>
      </c>
      <c r="F302" s="32" t="s">
        <v>146</v>
      </c>
      <c r="G302" s="40"/>
      <c r="H302" s="40"/>
      <c r="I302" s="39" t="n">
        <v>1</v>
      </c>
      <c r="J302" s="40"/>
      <c r="K302" s="40"/>
      <c r="L302" s="40" t="s">
        <v>458</v>
      </c>
      <c r="M302" s="40" t="str">
        <f aca="false">IF(OR(E302="אולם חתונות גדול",E302="מתחם רב-אולמי",I302&gt;=2,D302="מרכז",D302="שרון",D302="ירושלים והסביבה"),"גבוה","בינוני")</f>
        <v>בינוני</v>
      </c>
    </row>
    <row r="303" customFormat="false" ht="15" hidden="false" customHeight="false" outlineLevel="0" collapsed="false">
      <c r="B303" s="37" t="n">
        <v>287</v>
      </c>
      <c r="C303" s="30" t="s">
        <v>730</v>
      </c>
      <c r="D303" s="30" t="s">
        <v>731</v>
      </c>
      <c r="E303" s="30" t="s">
        <v>188</v>
      </c>
      <c r="F303" s="30" t="s">
        <v>142</v>
      </c>
      <c r="G303" s="38"/>
      <c r="H303" s="38"/>
      <c r="I303" s="37" t="n">
        <v>1</v>
      </c>
      <c r="J303" s="38"/>
      <c r="K303" s="38"/>
      <c r="L303" s="38" t="s">
        <v>458</v>
      </c>
      <c r="M303" s="38" t="str">
        <f aca="false">IF(OR(E303="אולם חתונות גדול",E303="מתחם רב-אולמי",I303&gt;=2,D303="מרכז",D303="שרון",D303="ירושלים והסביבה"),"גבוה","בינוני")</f>
        <v>בינוני</v>
      </c>
    </row>
    <row r="304" customFormat="false" ht="23.85" hidden="false" customHeight="false" outlineLevel="0" collapsed="false">
      <c r="B304" s="39" t="n">
        <v>288</v>
      </c>
      <c r="C304" s="32" t="s">
        <v>732</v>
      </c>
      <c r="D304" s="32" t="s">
        <v>733</v>
      </c>
      <c r="E304" s="32" t="s">
        <v>168</v>
      </c>
      <c r="F304" s="32" t="s">
        <v>148</v>
      </c>
      <c r="G304" s="40"/>
      <c r="H304" s="40"/>
      <c r="I304" s="39" t="n">
        <v>1</v>
      </c>
      <c r="J304" s="40"/>
      <c r="K304" s="40"/>
      <c r="L304" s="40" t="s">
        <v>458</v>
      </c>
      <c r="M304" s="40" t="str">
        <f aca="false">IF(OR(E304="אולם חתונות גדול",E304="מתחם רב-אולמי",I304&gt;=2,D304="מרכז",D304="שרון",D304="ירושלים והסביבה"),"גבוה","בינוני")</f>
        <v>בינוני</v>
      </c>
    </row>
    <row r="305" customFormat="false" ht="15" hidden="false" customHeight="false" outlineLevel="0" collapsed="false">
      <c r="B305" s="37" t="n">
        <v>289</v>
      </c>
      <c r="C305" s="30" t="s">
        <v>734</v>
      </c>
      <c r="D305" s="30" t="s">
        <v>204</v>
      </c>
      <c r="E305" s="30" t="s">
        <v>168</v>
      </c>
      <c r="F305" s="30" t="s">
        <v>143</v>
      </c>
      <c r="G305" s="38"/>
      <c r="H305" s="38"/>
      <c r="I305" s="37" t="n">
        <v>1</v>
      </c>
      <c r="J305" s="38"/>
      <c r="K305" s="38"/>
      <c r="L305" s="38" t="s">
        <v>458</v>
      </c>
      <c r="M305" s="38" t="str">
        <f aca="false">IF(OR(E305="אולם חתונות גדול",E305="מתחם רב-אולמי",I305&gt;=2,D305="מרכז",D305="שרון",D305="ירושלים והסביבה"),"גבוה","בינוני")</f>
        <v>בינוני</v>
      </c>
    </row>
    <row r="306" customFormat="false" ht="15" hidden="false" customHeight="false" outlineLevel="0" collapsed="false">
      <c r="B306" s="39" t="n">
        <v>290</v>
      </c>
      <c r="C306" s="32" t="s">
        <v>735</v>
      </c>
      <c r="D306" s="32" t="s">
        <v>356</v>
      </c>
      <c r="E306" s="32" t="s">
        <v>282</v>
      </c>
      <c r="F306" s="32" t="s">
        <v>142</v>
      </c>
      <c r="G306" s="40"/>
      <c r="H306" s="40"/>
      <c r="I306" s="39" t="n">
        <v>1</v>
      </c>
      <c r="J306" s="40"/>
      <c r="K306" s="40"/>
      <c r="L306" s="40" t="s">
        <v>458</v>
      </c>
      <c r="M306" s="40" t="str">
        <f aca="false">IF(OR(E306="אולם חתונות גדול",E306="מתחם רב-אולמי",I306&gt;=2,D306="מרכז",D306="שרון",D306="ירושלים והסביבה"),"גבוה","בינוני")</f>
        <v>בינוני</v>
      </c>
    </row>
    <row r="307" customFormat="false" ht="15" hidden="false" customHeight="false" outlineLevel="0" collapsed="false">
      <c r="B307" s="37" t="n">
        <v>291</v>
      </c>
      <c r="C307" s="30" t="s">
        <v>736</v>
      </c>
      <c r="D307" s="30" t="s">
        <v>245</v>
      </c>
      <c r="E307" s="30" t="s">
        <v>179</v>
      </c>
      <c r="F307" s="30" t="s">
        <v>143</v>
      </c>
      <c r="G307" s="38" t="s">
        <v>184</v>
      </c>
      <c r="H307" s="30" t="s">
        <v>180</v>
      </c>
      <c r="I307" s="37" t="n">
        <v>1</v>
      </c>
      <c r="J307" s="38"/>
      <c r="K307" s="38"/>
      <c r="L307" s="38" t="s">
        <v>458</v>
      </c>
      <c r="M307" s="38" t="str">
        <f aca="false">IF(OR(E307="אולם חתונות גדול",E307="מתחם רב-אולמי",I307&gt;=2,D307="מרכז",D307="שרון",D307="ירושלים והסביבה"),"גבוה","בינוני")</f>
        <v>בינוני</v>
      </c>
    </row>
    <row r="308" customFormat="false" ht="15" hidden="false" customHeight="false" outlineLevel="0" collapsed="false">
      <c r="B308" s="39" t="n">
        <v>292</v>
      </c>
      <c r="C308" s="32" t="s">
        <v>737</v>
      </c>
      <c r="D308" s="32" t="s">
        <v>701</v>
      </c>
      <c r="E308" s="32" t="s">
        <v>168</v>
      </c>
      <c r="F308" s="32" t="s">
        <v>146</v>
      </c>
      <c r="G308" s="40"/>
      <c r="H308" s="40"/>
      <c r="I308" s="39" t="n">
        <v>1</v>
      </c>
      <c r="J308" s="40"/>
      <c r="K308" s="40"/>
      <c r="L308" s="40" t="s">
        <v>458</v>
      </c>
      <c r="M308" s="40" t="str">
        <f aca="false">IF(OR(E308="אולם חתונות גדול",E308="מתחם רב-אולמי",I308&gt;=2,D308="מרכז",D308="שרון",D308="ירושלים והסביבה"),"גבוה","בינוני")</f>
        <v>בינוני</v>
      </c>
    </row>
    <row r="309" customFormat="false" ht="15" hidden="false" customHeight="false" outlineLevel="0" collapsed="false">
      <c r="B309" s="37" t="n">
        <v>293</v>
      </c>
      <c r="C309" s="30" t="s">
        <v>738</v>
      </c>
      <c r="D309" s="30" t="s">
        <v>739</v>
      </c>
      <c r="E309" s="30" t="s">
        <v>168</v>
      </c>
      <c r="F309" s="30" t="s">
        <v>143</v>
      </c>
      <c r="G309" s="38"/>
      <c r="H309" s="38"/>
      <c r="I309" s="37" t="n">
        <v>1</v>
      </c>
      <c r="J309" s="38"/>
      <c r="K309" s="38"/>
      <c r="L309" s="38" t="s">
        <v>458</v>
      </c>
      <c r="M309" s="38" t="str">
        <f aca="false">IF(OR(E309="אולם חתונות גדול",E309="מתחם רב-אולמי",I309&gt;=2,D309="מרכז",D309="שרון",D309="ירושלים והסביבה"),"גבוה","בינוני")</f>
        <v>בינוני</v>
      </c>
    </row>
    <row r="310" customFormat="false" ht="15" hidden="false" customHeight="false" outlineLevel="0" collapsed="false">
      <c r="B310" s="39" t="n">
        <v>294</v>
      </c>
      <c r="C310" s="32" t="s">
        <v>740</v>
      </c>
      <c r="D310" s="32" t="s">
        <v>281</v>
      </c>
      <c r="E310" s="32" t="s">
        <v>282</v>
      </c>
      <c r="F310" s="32" t="s">
        <v>146</v>
      </c>
      <c r="G310" s="40"/>
      <c r="H310" s="40"/>
      <c r="I310" s="39" t="n">
        <v>1</v>
      </c>
      <c r="J310" s="40"/>
      <c r="K310" s="40"/>
      <c r="L310" s="40" t="s">
        <v>458</v>
      </c>
      <c r="M310" s="40" t="str">
        <f aca="false">IF(OR(E310="אולם חתונות גדול",E310="מתחם רב-אולמי",I310&gt;=2,D310="מרכז",D310="שרון",D310="ירושלים והסביבה"),"גבוה","בינוני")</f>
        <v>בינוני</v>
      </c>
    </row>
    <row r="311" customFormat="false" ht="15" hidden="false" customHeight="false" outlineLevel="0" collapsed="false">
      <c r="B311" s="37" t="n">
        <v>295</v>
      </c>
      <c r="C311" s="30" t="s">
        <v>741</v>
      </c>
      <c r="D311" s="30" t="s">
        <v>571</v>
      </c>
      <c r="E311" s="30" t="s">
        <v>282</v>
      </c>
      <c r="F311" s="30" t="s">
        <v>143</v>
      </c>
      <c r="G311" s="38"/>
      <c r="H311" s="38"/>
      <c r="I311" s="37" t="n">
        <v>1</v>
      </c>
      <c r="J311" s="38"/>
      <c r="K311" s="38"/>
      <c r="L311" s="38" t="s">
        <v>742</v>
      </c>
      <c r="M311" s="38" t="str">
        <f aca="false">IF(OR(E311="אולם חתונות גדול",E311="מתחם רב-אולמי",I311&gt;=2,D311="מרכז",D311="שרון",D311="ירושלים והסביבה"),"גבוה","בינוני")</f>
        <v>בינוני</v>
      </c>
    </row>
    <row r="312" customFormat="false" ht="15" hidden="false" customHeight="false" outlineLevel="0" collapsed="false">
      <c r="B312" s="39" t="n">
        <v>296</v>
      </c>
      <c r="C312" s="32" t="s">
        <v>743</v>
      </c>
      <c r="D312" s="32" t="s">
        <v>436</v>
      </c>
      <c r="E312" s="32" t="s">
        <v>188</v>
      </c>
      <c r="F312" s="32" t="s">
        <v>145</v>
      </c>
      <c r="G312" s="40" t="s">
        <v>595</v>
      </c>
      <c r="H312" s="32" t="s">
        <v>180</v>
      </c>
      <c r="I312" s="39" t="n">
        <v>2</v>
      </c>
      <c r="J312" s="40"/>
      <c r="K312" s="40"/>
      <c r="L312" s="40" t="s">
        <v>478</v>
      </c>
      <c r="M312" s="40" t="str">
        <f aca="false">IF(OR(E312="אולם חתונות גדול",E312="מתחם רב-אולמי",I312&gt;=2,D312="מרכז",D312="שרון",D312="ירושלים והסביבה"),"גבוה","בינוני")</f>
        <v>גבוה</v>
      </c>
    </row>
    <row r="313" customFormat="false" ht="15" hidden="false" customHeight="false" outlineLevel="0" collapsed="false">
      <c r="B313" s="37" t="n">
        <v>297</v>
      </c>
      <c r="C313" s="30" t="s">
        <v>569</v>
      </c>
      <c r="D313" s="30" t="s">
        <v>356</v>
      </c>
      <c r="E313" s="30" t="s">
        <v>282</v>
      </c>
      <c r="F313" s="30" t="s">
        <v>143</v>
      </c>
      <c r="G313" s="38" t="s">
        <v>451</v>
      </c>
      <c r="H313" s="30" t="s">
        <v>180</v>
      </c>
      <c r="I313" s="37" t="n">
        <v>1</v>
      </c>
      <c r="J313" s="38"/>
      <c r="K313" s="38"/>
      <c r="L313" s="38" t="s">
        <v>562</v>
      </c>
      <c r="M313" s="38" t="str">
        <f aca="false">IF(OR(E313="אולם חתונות גדול",E313="מתחם רב-אולמי",I313&gt;=2,D313="מרכז",D313="שרון",D313="ירושלים והסביבה"),"גבוה","בינוני")</f>
        <v>בינוני</v>
      </c>
    </row>
    <row r="314" customFormat="false" ht="15" hidden="false" customHeight="false" outlineLevel="0" collapsed="false">
      <c r="B314" s="39" t="n">
        <v>298</v>
      </c>
      <c r="C314" s="32" t="s">
        <v>744</v>
      </c>
      <c r="D314" s="32" t="s">
        <v>183</v>
      </c>
      <c r="E314" s="32" t="s">
        <v>175</v>
      </c>
      <c r="F314" s="32" t="s">
        <v>142</v>
      </c>
      <c r="G314" s="40"/>
      <c r="H314" s="32" t="s">
        <v>532</v>
      </c>
      <c r="I314" s="39" t="n">
        <v>1</v>
      </c>
      <c r="J314" s="40"/>
      <c r="K314" s="40"/>
      <c r="L314" s="40" t="s">
        <v>442</v>
      </c>
      <c r="M314" s="40" t="str">
        <f aca="false">IF(OR(E314="אולם חתונות גדול",E314="מתחם רב-אולמי",I314&gt;=2,D314="מרכז",D314="שרון",D314="ירושלים והסביבה"),"גבוה","בינוני")</f>
        <v>בינוני</v>
      </c>
    </row>
    <row r="315" customFormat="false" ht="15" hidden="false" customHeight="false" outlineLevel="0" collapsed="false">
      <c r="B315" s="37" t="n">
        <v>299</v>
      </c>
      <c r="C315" s="30" t="s">
        <v>745</v>
      </c>
      <c r="D315" s="30" t="s">
        <v>183</v>
      </c>
      <c r="E315" s="30" t="s">
        <v>175</v>
      </c>
      <c r="F315" s="30" t="s">
        <v>142</v>
      </c>
      <c r="G315" s="38"/>
      <c r="H315" s="30" t="s">
        <v>532</v>
      </c>
      <c r="I315" s="37" t="n">
        <v>1</v>
      </c>
      <c r="J315" s="38"/>
      <c r="K315" s="38"/>
      <c r="L315" s="38" t="s">
        <v>442</v>
      </c>
      <c r="M315" s="38" t="str">
        <f aca="false">IF(OR(E315="אולם חתונות גדול",E315="מתחם רב-אולמי",I315&gt;=2,D315="מרכז",D315="שרון",D315="ירושלים והסביבה"),"גבוה","בינוני")</f>
        <v>בינוני</v>
      </c>
    </row>
    <row r="316" customFormat="false" ht="15" hidden="false" customHeight="false" outlineLevel="0" collapsed="false">
      <c r="B316" s="39" t="n">
        <v>300</v>
      </c>
      <c r="C316" s="32" t="s">
        <v>746</v>
      </c>
      <c r="D316" s="32" t="s">
        <v>183</v>
      </c>
      <c r="E316" s="32" t="s">
        <v>175</v>
      </c>
      <c r="F316" s="32" t="s">
        <v>142</v>
      </c>
      <c r="G316" s="40"/>
      <c r="H316" s="32" t="s">
        <v>532</v>
      </c>
      <c r="I316" s="39" t="n">
        <v>1</v>
      </c>
      <c r="J316" s="40"/>
      <c r="K316" s="40"/>
      <c r="L316" s="40" t="s">
        <v>442</v>
      </c>
      <c r="M316" s="40" t="str">
        <f aca="false">IF(OR(E316="אולם חתונות גדול",E316="מתחם רב-אולמי",I316&gt;=2,D316="מרכז",D316="שרון",D316="ירושלים והסביבה"),"גבוה","בינוני")</f>
        <v>בינוני</v>
      </c>
    </row>
    <row r="317" customFormat="false" ht="15" hidden="false" customHeight="false" outlineLevel="0" collapsed="false">
      <c r="B317" s="37" t="n">
        <v>301</v>
      </c>
      <c r="C317" s="30" t="s">
        <v>747</v>
      </c>
      <c r="D317" s="30" t="s">
        <v>183</v>
      </c>
      <c r="E317" s="30" t="s">
        <v>175</v>
      </c>
      <c r="F317" s="30" t="s">
        <v>147</v>
      </c>
      <c r="G317" s="38"/>
      <c r="H317" s="30" t="s">
        <v>532</v>
      </c>
      <c r="I317" s="37" t="n">
        <v>1</v>
      </c>
      <c r="J317" s="38"/>
      <c r="K317" s="38"/>
      <c r="L317" s="38" t="s">
        <v>442</v>
      </c>
      <c r="M317" s="38" t="str">
        <f aca="false">IF(OR(E317="אולם חתונות גדול",E317="מתחם רב-אולמי",I317&gt;=2,D317="מרכז",D317="שרון",D317="ירושלים והסביבה"),"גבוה","בינוני")</f>
        <v>בינוני</v>
      </c>
    </row>
    <row r="318" customFormat="false" ht="23.85" hidden="false" customHeight="false" outlineLevel="0" collapsed="false">
      <c r="B318" s="39" t="n">
        <v>302</v>
      </c>
      <c r="C318" s="32" t="s">
        <v>748</v>
      </c>
      <c r="D318" s="32" t="s">
        <v>749</v>
      </c>
      <c r="E318" s="32" t="s">
        <v>175</v>
      </c>
      <c r="F318" s="32" t="s">
        <v>148</v>
      </c>
      <c r="G318" s="40"/>
      <c r="H318" s="40"/>
      <c r="I318" s="39" t="n">
        <v>1</v>
      </c>
      <c r="J318" s="40"/>
      <c r="K318" s="40"/>
      <c r="L318" s="40" t="s">
        <v>442</v>
      </c>
      <c r="M318" s="40" t="str">
        <f aca="false">IF(OR(E318="אולם חתונות גדול",E318="מתחם רב-אולמי",I318&gt;=2,D318="מרכז",D318="שרון",D318="ירושלים והסביבה"),"גבוה","בינוני")</f>
        <v>בינוני</v>
      </c>
    </row>
    <row r="319" customFormat="false" ht="15" hidden="false" customHeight="false" outlineLevel="0" collapsed="false">
      <c r="B319" s="37" t="n">
        <v>303</v>
      </c>
      <c r="C319" s="30" t="s">
        <v>750</v>
      </c>
      <c r="D319" s="30" t="s">
        <v>543</v>
      </c>
      <c r="E319" s="30" t="s">
        <v>175</v>
      </c>
      <c r="F319" s="30" t="s">
        <v>142</v>
      </c>
      <c r="G319" s="38"/>
      <c r="H319" s="30" t="s">
        <v>532</v>
      </c>
      <c r="I319" s="37" t="n">
        <v>1</v>
      </c>
      <c r="J319" s="38"/>
      <c r="K319" s="38"/>
      <c r="L319" s="38" t="s">
        <v>442</v>
      </c>
      <c r="M319" s="38" t="str">
        <f aca="false">IF(OR(E319="אולם חתונות גדול",E319="מתחם רב-אולמי",I319&gt;=2,D319="מרכז",D319="שרון",D319="ירושלים והסביבה"),"גבוה","בינוני")</f>
        <v>בינוני</v>
      </c>
    </row>
    <row r="320" customFormat="false" ht="15" hidden="false" customHeight="false" outlineLevel="0" collapsed="false">
      <c r="B320" s="39" t="n">
        <v>304</v>
      </c>
      <c r="C320" s="32" t="s">
        <v>751</v>
      </c>
      <c r="D320" s="32" t="s">
        <v>752</v>
      </c>
      <c r="E320" s="32" t="s">
        <v>282</v>
      </c>
      <c r="F320" s="32" t="s">
        <v>144</v>
      </c>
      <c r="G320" s="40"/>
      <c r="H320" s="40"/>
      <c r="I320" s="39" t="n">
        <v>1</v>
      </c>
      <c r="J320" s="40"/>
      <c r="K320" s="40"/>
      <c r="L320" s="40" t="s">
        <v>442</v>
      </c>
      <c r="M320" s="40" t="str">
        <f aca="false">IF(OR(E320="אולם חתונות גדול",E320="מתחם רב-אולמי",I320&gt;=2,D320="מרכז",D320="שרון",D320="ירושלים והסביבה"),"גבוה","בינוני")</f>
        <v>בינוני</v>
      </c>
    </row>
    <row r="321" customFormat="false" ht="15" hidden="false" customHeight="false" outlineLevel="0" collapsed="false">
      <c r="B321" s="37" t="n">
        <v>305</v>
      </c>
      <c r="C321" s="30" t="s">
        <v>753</v>
      </c>
      <c r="D321" s="30" t="s">
        <v>323</v>
      </c>
      <c r="E321" s="30" t="s">
        <v>175</v>
      </c>
      <c r="F321" s="30" t="s">
        <v>147</v>
      </c>
      <c r="G321" s="38"/>
      <c r="H321" s="30" t="s">
        <v>532</v>
      </c>
      <c r="I321" s="37" t="n">
        <v>1</v>
      </c>
      <c r="J321" s="38"/>
      <c r="K321" s="38"/>
      <c r="L321" s="38" t="s">
        <v>442</v>
      </c>
      <c r="M321" s="38" t="str">
        <f aca="false">IF(OR(E321="אולם חתונות גדול",E321="מתחם רב-אולמי",I321&gt;=2,D321="מרכז",D321="שרון",D321="ירושלים והסביבה"),"גבוה","בינוני")</f>
        <v>בינוני</v>
      </c>
    </row>
    <row r="322" customFormat="false" ht="15" hidden="false" customHeight="false" outlineLevel="0" collapsed="false">
      <c r="B322" s="39" t="n">
        <v>306</v>
      </c>
      <c r="C322" s="40" t="s">
        <v>754</v>
      </c>
      <c r="D322" s="32" t="s">
        <v>473</v>
      </c>
      <c r="E322" s="32" t="s">
        <v>188</v>
      </c>
      <c r="F322" s="32" t="s">
        <v>146</v>
      </c>
      <c r="G322" s="40" t="s">
        <v>603</v>
      </c>
      <c r="H322" s="32" t="s">
        <v>180</v>
      </c>
      <c r="I322" s="39" t="n">
        <v>1</v>
      </c>
      <c r="J322" s="40"/>
      <c r="K322" s="40"/>
      <c r="L322" s="40" t="s">
        <v>562</v>
      </c>
      <c r="M322" s="40" t="str">
        <f aca="false">IF(OR(E322="אולם חתונות גדול",E322="מתחם רב-אולמי",I322&gt;=2,D322="מרכז",D322="שרון",D322="ירושלים והסביבה"),"גבוה","בינוני")</f>
        <v>בינוני</v>
      </c>
    </row>
    <row r="323" customFormat="false" ht="23.85" hidden="false" customHeight="false" outlineLevel="0" collapsed="false">
      <c r="B323" s="37" t="n">
        <v>307</v>
      </c>
      <c r="C323" s="30" t="s">
        <v>755</v>
      </c>
      <c r="D323" s="30" t="s">
        <v>464</v>
      </c>
      <c r="E323" s="30" t="s">
        <v>179</v>
      </c>
      <c r="F323" s="30" t="s">
        <v>148</v>
      </c>
      <c r="G323" s="38"/>
      <c r="H323" s="38"/>
      <c r="I323" s="37" t="n">
        <v>1</v>
      </c>
      <c r="J323" s="38"/>
      <c r="K323" s="38"/>
      <c r="L323" s="38" t="s">
        <v>444</v>
      </c>
      <c r="M323" s="38" t="str">
        <f aca="false">IF(OR(E323="אולם חתונות גדול",E323="מתחם רב-אולמי",I323&gt;=2,D323="מרכז",D323="שרון",D323="ירושלים והסביבה"),"גבוה","בינוני")</f>
        <v>בינוני</v>
      </c>
    </row>
    <row r="324" customFormat="false" ht="15" hidden="false" customHeight="false" outlineLevel="0" collapsed="false">
      <c r="B324" s="39" t="n">
        <v>308</v>
      </c>
      <c r="C324" s="32" t="s">
        <v>756</v>
      </c>
      <c r="D324" s="32" t="s">
        <v>464</v>
      </c>
      <c r="E324" s="32" t="s">
        <v>179</v>
      </c>
      <c r="F324" s="32" t="s">
        <v>144</v>
      </c>
      <c r="G324" s="40"/>
      <c r="H324" s="40"/>
      <c r="I324" s="39" t="n">
        <v>1</v>
      </c>
      <c r="J324" s="40"/>
      <c r="K324" s="40"/>
      <c r="L324" s="40" t="s">
        <v>444</v>
      </c>
      <c r="M324" s="40" t="str">
        <f aca="false">IF(OR(E324="אולם חתונות גדול",E324="מתחם רב-אולמי",I324&gt;=2,D324="מרכז",D324="שרון",D324="ירושלים והסביבה"),"גבוה","בינוני")</f>
        <v>בינוני</v>
      </c>
    </row>
    <row r="325" customFormat="false" ht="23.85" hidden="false" customHeight="false" outlineLevel="0" collapsed="false">
      <c r="B325" s="37" t="n">
        <v>309</v>
      </c>
      <c r="C325" s="38" t="s">
        <v>757</v>
      </c>
      <c r="D325" s="30" t="s">
        <v>464</v>
      </c>
      <c r="E325" s="30" t="s">
        <v>179</v>
      </c>
      <c r="F325" s="30" t="s">
        <v>148</v>
      </c>
      <c r="G325" s="38"/>
      <c r="H325" s="38"/>
      <c r="I325" s="37" t="n">
        <v>1</v>
      </c>
      <c r="J325" s="38"/>
      <c r="K325" s="38"/>
      <c r="L325" s="38" t="s">
        <v>444</v>
      </c>
      <c r="M325" s="38" t="str">
        <f aca="false">IF(OR(E325="אולם חתונות גדול",E325="מתחם רב-אולמי",I325&gt;=2,D325="מרכז",D325="שרון",D325="ירושלים והסביבה"),"גבוה","בינוני")</f>
        <v>בינוני</v>
      </c>
    </row>
    <row r="326" customFormat="false" ht="15" hidden="false" customHeight="false" outlineLevel="0" collapsed="false">
      <c r="B326" s="39" t="n">
        <v>310</v>
      </c>
      <c r="C326" s="40" t="s">
        <v>758</v>
      </c>
      <c r="D326" s="32" t="s">
        <v>304</v>
      </c>
      <c r="E326" s="32" t="s">
        <v>179</v>
      </c>
      <c r="F326" s="32" t="s">
        <v>144</v>
      </c>
      <c r="G326" s="40"/>
      <c r="H326" s="40"/>
      <c r="I326" s="39" t="n">
        <v>1</v>
      </c>
      <c r="J326" s="40"/>
      <c r="K326" s="40"/>
      <c r="L326" s="40" t="s">
        <v>444</v>
      </c>
      <c r="M326" s="40" t="str">
        <f aca="false">IF(OR(E326="אולם חתונות גדול",E326="מתחם רב-אולמי",I326&gt;=2,D326="מרכז",D326="שרון",D326="ירושלים והסביבה"),"גבוה","בינוני")</f>
        <v>בינוני</v>
      </c>
    </row>
    <row r="327" customFormat="false" ht="15" hidden="false" customHeight="false" outlineLevel="0" collapsed="false">
      <c r="B327" s="37" t="n">
        <v>311</v>
      </c>
      <c r="C327" s="38" t="s">
        <v>759</v>
      </c>
      <c r="D327" s="30" t="s">
        <v>304</v>
      </c>
      <c r="E327" s="30" t="s">
        <v>179</v>
      </c>
      <c r="F327" s="30" t="s">
        <v>143</v>
      </c>
      <c r="G327" s="38"/>
      <c r="H327" s="38"/>
      <c r="I327" s="37" t="n">
        <v>1</v>
      </c>
      <c r="J327" s="38"/>
      <c r="K327" s="38"/>
      <c r="L327" s="38" t="s">
        <v>444</v>
      </c>
      <c r="M327" s="38" t="str">
        <f aca="false">IF(OR(E327="אולם חתונות גדול",E327="מתחם רב-אולמי",I327&gt;=2,D327="מרכז",D327="שרון",D327="ירושלים והסביבה"),"גבוה","בינוני")</f>
        <v>בינוני</v>
      </c>
    </row>
    <row r="328" customFormat="false" ht="15" hidden="false" customHeight="false" outlineLevel="0" collapsed="false">
      <c r="B328" s="39" t="n">
        <v>312</v>
      </c>
      <c r="C328" s="40" t="s">
        <v>760</v>
      </c>
      <c r="D328" s="32" t="s">
        <v>304</v>
      </c>
      <c r="E328" s="32" t="s">
        <v>179</v>
      </c>
      <c r="F328" s="32" t="s">
        <v>144</v>
      </c>
      <c r="G328" s="40"/>
      <c r="H328" s="40"/>
      <c r="I328" s="39" t="n">
        <v>1</v>
      </c>
      <c r="J328" s="40"/>
      <c r="K328" s="40"/>
      <c r="L328" s="40" t="s">
        <v>444</v>
      </c>
      <c r="M328" s="40" t="str">
        <f aca="false">IF(OR(E328="אולם חתונות גדול",E328="מתחם רב-אולמי",I328&gt;=2,D328="מרכז",D328="שרון",D328="ירושלים והסביבה"),"גבוה","בינוני")</f>
        <v>בינוני</v>
      </c>
    </row>
    <row r="329" customFormat="false" ht="23.85" hidden="false" customHeight="false" outlineLevel="0" collapsed="false">
      <c r="B329" s="37" t="n">
        <v>313</v>
      </c>
      <c r="C329" s="30" t="s">
        <v>761</v>
      </c>
      <c r="D329" s="30" t="s">
        <v>187</v>
      </c>
      <c r="E329" s="30" t="s">
        <v>188</v>
      </c>
      <c r="F329" s="30" t="s">
        <v>148</v>
      </c>
      <c r="G329" s="38"/>
      <c r="H329" s="38"/>
      <c r="I329" s="37" t="n">
        <v>1</v>
      </c>
      <c r="J329" s="38"/>
      <c r="K329" s="38"/>
      <c r="L329" s="38" t="s">
        <v>481</v>
      </c>
      <c r="M329" s="38" t="str">
        <f aca="false">IF(OR(E329="אולם חתונות גדול",E329="מתחם רב-אולמי",I329&gt;=2,D329="מרכז",D329="שרון",D329="ירושלים והסביבה"),"גבוה","בינוני")</f>
        <v>בינוני</v>
      </c>
    </row>
    <row r="330" customFormat="false" ht="15" hidden="false" customHeight="false" outlineLevel="0" collapsed="false">
      <c r="B330" s="39" t="n">
        <v>314</v>
      </c>
      <c r="C330" s="32" t="s">
        <v>762</v>
      </c>
      <c r="D330" s="32" t="s">
        <v>187</v>
      </c>
      <c r="E330" s="32" t="s">
        <v>188</v>
      </c>
      <c r="F330" s="32" t="s">
        <v>146</v>
      </c>
      <c r="G330" s="40"/>
      <c r="H330" s="40"/>
      <c r="I330" s="39" t="n">
        <v>1</v>
      </c>
      <c r="J330" s="40"/>
      <c r="K330" s="40"/>
      <c r="L330" s="40" t="s">
        <v>481</v>
      </c>
      <c r="M330" s="40" t="str">
        <f aca="false">IF(OR(E330="אולם חתונות גדול",E330="מתחם רב-אולמי",I330&gt;=2,D330="מרכז",D330="שרון",D330="ירושלים והסביבה"),"גבוה","בינוני")</f>
        <v>בינוני</v>
      </c>
    </row>
    <row r="331" customFormat="false" ht="15" hidden="false" customHeight="false" outlineLevel="0" collapsed="false">
      <c r="B331" s="37" t="n">
        <v>315</v>
      </c>
      <c r="C331" s="30" t="s">
        <v>763</v>
      </c>
      <c r="D331" s="30" t="s">
        <v>187</v>
      </c>
      <c r="E331" s="30" t="s">
        <v>188</v>
      </c>
      <c r="F331" s="30" t="s">
        <v>144</v>
      </c>
      <c r="G331" s="38"/>
      <c r="H331" s="38"/>
      <c r="I331" s="37" t="n">
        <v>1</v>
      </c>
      <c r="J331" s="38"/>
      <c r="K331" s="38"/>
      <c r="L331" s="38" t="s">
        <v>481</v>
      </c>
      <c r="M331" s="38" t="str">
        <f aca="false">IF(OR(E331="אולם חתונות גדול",E331="מתחם רב-אולמי",I331&gt;=2,D331="מרכז",D331="שרון",D331="ירושלים והסביבה"),"גבוה","בינוני")</f>
        <v>בינוני</v>
      </c>
    </row>
    <row r="332" customFormat="false" ht="15" hidden="false" customHeight="false" outlineLevel="0" collapsed="false">
      <c r="B332" s="39" t="n">
        <v>316</v>
      </c>
      <c r="C332" s="32" t="s">
        <v>764</v>
      </c>
      <c r="D332" s="32" t="s">
        <v>187</v>
      </c>
      <c r="E332" s="32" t="s">
        <v>188</v>
      </c>
      <c r="F332" s="32" t="s">
        <v>144</v>
      </c>
      <c r="G332" s="40"/>
      <c r="H332" s="40"/>
      <c r="I332" s="39" t="n">
        <v>1</v>
      </c>
      <c r="J332" s="40"/>
      <c r="K332" s="40"/>
      <c r="L332" s="40" t="s">
        <v>481</v>
      </c>
      <c r="M332" s="40" t="str">
        <f aca="false">IF(OR(E332="אולם חתונות גדול",E332="מתחם רב-אולמי",I332&gt;=2,D332="מרכז",D332="שרון",D332="ירושלים והסביבה"),"גבוה","בינוני")</f>
        <v>בינוני</v>
      </c>
    </row>
    <row r="333" customFormat="false" ht="23.85" hidden="false" customHeight="false" outlineLevel="0" collapsed="false">
      <c r="B333" s="37" t="n">
        <v>317</v>
      </c>
      <c r="C333" s="30" t="s">
        <v>765</v>
      </c>
      <c r="D333" s="30" t="s">
        <v>766</v>
      </c>
      <c r="E333" s="30" t="s">
        <v>188</v>
      </c>
      <c r="F333" s="30" t="s">
        <v>148</v>
      </c>
      <c r="G333" s="38"/>
      <c r="H333" s="38"/>
      <c r="I333" s="37" t="n">
        <v>1</v>
      </c>
      <c r="J333" s="38"/>
      <c r="K333" s="38"/>
      <c r="L333" s="38" t="s">
        <v>481</v>
      </c>
      <c r="M333" s="38" t="str">
        <f aca="false">IF(OR(E333="אולם חתונות גדול",E333="מתחם רב-אולמי",I333&gt;=2,D333="מרכז",D333="שרון",D333="ירושלים והסביבה"),"גבוה","בינוני")</f>
        <v>בינוני</v>
      </c>
    </row>
    <row r="334" customFormat="false" ht="15" hidden="false" customHeight="false" outlineLevel="0" collapsed="false">
      <c r="B334" s="39" t="n">
        <v>318</v>
      </c>
      <c r="C334" s="32" t="s">
        <v>767</v>
      </c>
      <c r="D334" s="32" t="s">
        <v>485</v>
      </c>
      <c r="E334" s="32" t="s">
        <v>188</v>
      </c>
      <c r="F334" s="32" t="s">
        <v>144</v>
      </c>
      <c r="G334" s="40"/>
      <c r="H334" s="40"/>
      <c r="I334" s="39" t="n">
        <v>1</v>
      </c>
      <c r="J334" s="40"/>
      <c r="K334" s="40"/>
      <c r="L334" s="40" t="s">
        <v>481</v>
      </c>
      <c r="M334" s="40" t="str">
        <f aca="false">IF(OR(E334="אולם חתונות גדול",E334="מתחם רב-אולמי",I334&gt;=2,D334="מרכז",D334="שרון",D334="ירושלים והסביבה"),"גבוה","בינוני")</f>
        <v>בינוני</v>
      </c>
    </row>
    <row r="335" customFormat="false" ht="15" hidden="false" customHeight="false" outlineLevel="0" collapsed="false">
      <c r="B335" s="37" t="n">
        <v>319</v>
      </c>
      <c r="C335" s="38" t="s">
        <v>768</v>
      </c>
      <c r="D335" s="30" t="s">
        <v>304</v>
      </c>
      <c r="E335" s="30" t="s">
        <v>179</v>
      </c>
      <c r="F335" s="30" t="s">
        <v>144</v>
      </c>
      <c r="G335" s="38"/>
      <c r="H335" s="38"/>
      <c r="I335" s="37" t="n">
        <v>1</v>
      </c>
      <c r="J335" s="38"/>
      <c r="K335" s="38"/>
      <c r="L335" s="38" t="s">
        <v>481</v>
      </c>
      <c r="M335" s="38" t="str">
        <f aca="false">IF(OR(E335="אולם חתונות גדול",E335="מתחם רב-אולמי",I335&gt;=2,D335="מרכז",D335="שרון",D335="ירושלים והסביבה"),"גבוה","בינוני")</f>
        <v>בינוני</v>
      </c>
    </row>
    <row r="336" customFormat="false" ht="15" hidden="false" customHeight="false" outlineLevel="0" collapsed="false">
      <c r="B336" s="39" t="n">
        <v>320</v>
      </c>
      <c r="C336" s="40" t="s">
        <v>769</v>
      </c>
      <c r="D336" s="32" t="s">
        <v>304</v>
      </c>
      <c r="E336" s="32" t="s">
        <v>179</v>
      </c>
      <c r="F336" s="32" t="s">
        <v>143</v>
      </c>
      <c r="G336" s="40"/>
      <c r="H336" s="40"/>
      <c r="I336" s="39" t="n">
        <v>1</v>
      </c>
      <c r="J336" s="40"/>
      <c r="K336" s="40"/>
      <c r="L336" s="40" t="s">
        <v>481</v>
      </c>
      <c r="M336" s="40" t="str">
        <f aca="false">IF(OR(E336="אולם חתונות גדול",E336="מתחם רב-אולמי",I336&gt;=2,D336="מרכז",D336="שרון",D336="ירושלים והסביבה"),"גבוה","בינוני")</f>
        <v>בינוני</v>
      </c>
    </row>
    <row r="337" customFormat="false" ht="15" hidden="false" customHeight="false" outlineLevel="0" collapsed="false">
      <c r="B337" s="37" t="n">
        <v>321</v>
      </c>
      <c r="C337" s="38" t="s">
        <v>770</v>
      </c>
      <c r="D337" s="30" t="s">
        <v>304</v>
      </c>
      <c r="E337" s="30" t="s">
        <v>179</v>
      </c>
      <c r="F337" s="30" t="s">
        <v>145</v>
      </c>
      <c r="G337" s="38" t="s">
        <v>771</v>
      </c>
      <c r="H337" s="30" t="s">
        <v>534</v>
      </c>
      <c r="I337" s="37" t="n">
        <v>2</v>
      </c>
      <c r="J337" s="38"/>
      <c r="K337" s="38"/>
      <c r="L337" s="38" t="s">
        <v>481</v>
      </c>
      <c r="M337" s="38" t="str">
        <f aca="false">IF(OR(E337="אולם חתונות גדול",E337="מתחם רב-אולמי",I337&gt;=2,D337="מרכז",D337="שרון",D337="ירושלים והסביבה"),"גבוה","בינוני")</f>
        <v>גבוה</v>
      </c>
    </row>
    <row r="338" customFormat="false" ht="15" hidden="false" customHeight="false" outlineLevel="0" collapsed="false">
      <c r="B338" s="39" t="n">
        <v>322</v>
      </c>
      <c r="C338" s="32" t="s">
        <v>772</v>
      </c>
      <c r="D338" s="32" t="s">
        <v>520</v>
      </c>
      <c r="E338" s="32" t="s">
        <v>179</v>
      </c>
      <c r="F338" s="32" t="s">
        <v>145</v>
      </c>
      <c r="G338" s="40" t="s">
        <v>246</v>
      </c>
      <c r="H338" s="32" t="s">
        <v>180</v>
      </c>
      <c r="I338" s="39" t="n">
        <v>3</v>
      </c>
      <c r="J338" s="40"/>
      <c r="K338" s="40"/>
      <c r="L338" s="40" t="s">
        <v>481</v>
      </c>
      <c r="M338" s="40" t="str">
        <f aca="false">IF(OR(E338="אולם חתונות גדול",E338="מתחם רב-אולמי",I338&gt;=2,D338="מרכז",D338="שרון",D338="ירושלים והסביבה"),"גבוה","בינוני")</f>
        <v>גבוה</v>
      </c>
    </row>
    <row r="339" customFormat="false" ht="15" hidden="false" customHeight="false" outlineLevel="0" collapsed="false">
      <c r="B339" s="37" t="n">
        <v>323</v>
      </c>
      <c r="C339" s="30" t="s">
        <v>773</v>
      </c>
      <c r="D339" s="30" t="s">
        <v>230</v>
      </c>
      <c r="E339" s="30" t="s">
        <v>179</v>
      </c>
      <c r="F339" s="30" t="s">
        <v>144</v>
      </c>
      <c r="G339" s="38" t="s">
        <v>189</v>
      </c>
      <c r="H339" s="30" t="s">
        <v>534</v>
      </c>
      <c r="I339" s="37" t="n">
        <v>1</v>
      </c>
      <c r="J339" s="38"/>
      <c r="K339" s="38"/>
      <c r="L339" s="38" t="s">
        <v>481</v>
      </c>
      <c r="M339" s="38" t="str">
        <f aca="false">IF(OR(E339="אולם חתונות גדול",E339="מתחם רב-אולמי",I339&gt;=2,D339="מרכז",D339="שרון",D339="ירושלים והסביבה"),"גבוה","בינוני")</f>
        <v>בינוני</v>
      </c>
    </row>
    <row r="340" customFormat="false" ht="15" hidden="false" customHeight="false" outlineLevel="0" collapsed="false">
      <c r="B340" s="39" t="n">
        <v>324</v>
      </c>
      <c r="C340" s="32" t="s">
        <v>774</v>
      </c>
      <c r="D340" s="32" t="s">
        <v>343</v>
      </c>
      <c r="E340" s="32" t="s">
        <v>168</v>
      </c>
      <c r="F340" s="32" t="s">
        <v>144</v>
      </c>
      <c r="G340" s="40" t="s">
        <v>453</v>
      </c>
      <c r="H340" s="32" t="s">
        <v>534</v>
      </c>
      <c r="I340" s="39" t="n">
        <v>1</v>
      </c>
      <c r="J340" s="40"/>
      <c r="K340" s="40"/>
      <c r="L340" s="40" t="s">
        <v>481</v>
      </c>
      <c r="M340" s="40" t="str">
        <f aca="false">IF(OR(E340="אולם חתונות גדול",E340="מתחם רב-אולמי",I340&gt;=2,D340="מרכז",D340="שרון",D340="ירושלים והסביבה"),"גבוה","בינוני")</f>
        <v>בינוני</v>
      </c>
    </row>
    <row r="341" customFormat="false" ht="15" hidden="false" customHeight="false" outlineLevel="0" collapsed="false">
      <c r="B341" s="37" t="n">
        <v>325</v>
      </c>
      <c r="C341" s="30" t="s">
        <v>775</v>
      </c>
      <c r="D341" s="30" t="s">
        <v>204</v>
      </c>
      <c r="E341" s="30" t="s">
        <v>168</v>
      </c>
      <c r="F341" s="30" t="s">
        <v>143</v>
      </c>
      <c r="G341" s="38"/>
      <c r="H341" s="38"/>
      <c r="I341" s="37" t="n">
        <v>1</v>
      </c>
      <c r="J341" s="38"/>
      <c r="K341" s="38"/>
      <c r="L341" s="38" t="s">
        <v>478</v>
      </c>
      <c r="M341" s="38" t="str">
        <f aca="false">IF(OR(E341="אולם חתונות גדול",E341="מתחם רב-אולמי",I341&gt;=2,D341="מרכז",D341="שרון",D341="ירושלים והסביבה"),"גבוה","בינוני")</f>
        <v>בינוני</v>
      </c>
    </row>
    <row r="342" customFormat="false" ht="15" hidden="false" customHeight="false" outlineLevel="0" collapsed="false">
      <c r="B342" s="39" t="n">
        <v>326</v>
      </c>
      <c r="C342" s="32" t="s">
        <v>776</v>
      </c>
      <c r="D342" s="32" t="s">
        <v>343</v>
      </c>
      <c r="E342" s="32" t="s">
        <v>168</v>
      </c>
      <c r="F342" s="32" t="s">
        <v>143</v>
      </c>
      <c r="G342" s="40" t="s">
        <v>591</v>
      </c>
      <c r="H342" s="32" t="s">
        <v>180</v>
      </c>
      <c r="I342" s="39" t="n">
        <v>1</v>
      </c>
      <c r="J342" s="40"/>
      <c r="K342" s="40"/>
      <c r="L342" s="40" t="s">
        <v>478</v>
      </c>
      <c r="M342" s="40" t="str">
        <f aca="false">IF(OR(E342="אולם חתונות גדול",E342="מתחם רב-אולמי",I342&gt;=2,D342="מרכז",D342="שרון",D342="ירושלים והסביבה"),"גבוה","בינוני")</f>
        <v>בינוני</v>
      </c>
    </row>
    <row r="343" customFormat="false" ht="15" hidden="false" customHeight="false" outlineLevel="0" collapsed="false">
      <c r="B343" s="37" t="n">
        <v>327</v>
      </c>
      <c r="C343" s="30" t="s">
        <v>777</v>
      </c>
      <c r="D343" s="30" t="s">
        <v>347</v>
      </c>
      <c r="E343" s="30" t="s">
        <v>168</v>
      </c>
      <c r="F343" s="30" t="s">
        <v>142</v>
      </c>
      <c r="G343" s="38"/>
      <c r="H343" s="38"/>
      <c r="I343" s="37" t="n">
        <v>1</v>
      </c>
      <c r="J343" s="38"/>
      <c r="K343" s="38"/>
      <c r="L343" s="38" t="s">
        <v>478</v>
      </c>
      <c r="M343" s="38" t="str">
        <f aca="false">IF(OR(E343="אולם חתונות גדול",E343="מתחם רב-אולמי",I343&gt;=2,D343="מרכז",D343="שרון",D343="ירושלים והסביבה"),"גבוה","בינוני")</f>
        <v>בינוני</v>
      </c>
    </row>
    <row r="344" customFormat="false" ht="15" hidden="false" customHeight="false" outlineLevel="0" collapsed="false">
      <c r="B344" s="39" t="n">
        <v>328</v>
      </c>
      <c r="C344" s="32" t="s">
        <v>778</v>
      </c>
      <c r="D344" s="32" t="s">
        <v>304</v>
      </c>
      <c r="E344" s="32" t="s">
        <v>179</v>
      </c>
      <c r="F344" s="32" t="s">
        <v>146</v>
      </c>
      <c r="G344" s="40" t="s">
        <v>668</v>
      </c>
      <c r="H344" s="32" t="s">
        <v>180</v>
      </c>
      <c r="I344" s="39" t="n">
        <v>1</v>
      </c>
      <c r="J344" s="40"/>
      <c r="K344" s="40"/>
      <c r="L344" s="40" t="s">
        <v>478</v>
      </c>
      <c r="M344" s="40" t="str">
        <f aca="false">IF(OR(E344="אולם חתונות גדול",E344="מתחם רב-אולמי",I344&gt;=2,D344="מרכז",D344="שרון",D344="ירושלים והסביבה"),"גבוה","בינוני")</f>
        <v>בינוני</v>
      </c>
    </row>
    <row r="345" customFormat="false" ht="15" hidden="false" customHeight="false" outlineLevel="0" collapsed="false">
      <c r="B345" s="37" t="n">
        <v>329</v>
      </c>
      <c r="C345" s="30" t="s">
        <v>779</v>
      </c>
      <c r="D345" s="30" t="s">
        <v>215</v>
      </c>
      <c r="E345" s="30" t="s">
        <v>179</v>
      </c>
      <c r="F345" s="30" t="s">
        <v>144</v>
      </c>
      <c r="G345" s="38" t="s">
        <v>451</v>
      </c>
      <c r="H345" s="30" t="s">
        <v>180</v>
      </c>
      <c r="I345" s="37" t="n">
        <v>1</v>
      </c>
      <c r="J345" s="38"/>
      <c r="K345" s="38"/>
      <c r="L345" s="38" t="s">
        <v>478</v>
      </c>
      <c r="M345" s="38" t="str">
        <f aca="false">IF(OR(E345="אולם חתונות גדול",E345="מתחם רב-אולמי",I345&gt;=2,D345="מרכז",D345="שרון",D345="ירושלים והסביבה"),"גבוה","בינוני")</f>
        <v>בינוני</v>
      </c>
    </row>
    <row r="346" customFormat="false" ht="15" hidden="false" customHeight="false" outlineLevel="0" collapsed="false">
      <c r="B346" s="39" t="n">
        <v>330</v>
      </c>
      <c r="C346" s="32" t="s">
        <v>780</v>
      </c>
      <c r="D346" s="32" t="s">
        <v>171</v>
      </c>
      <c r="E346" s="32" t="s">
        <v>163</v>
      </c>
      <c r="F346" s="32" t="s">
        <v>143</v>
      </c>
      <c r="G346" s="40"/>
      <c r="H346" s="40"/>
      <c r="I346" s="39" t="n">
        <v>1</v>
      </c>
      <c r="J346" s="40"/>
      <c r="K346" s="40"/>
      <c r="L346" s="40" t="s">
        <v>478</v>
      </c>
      <c r="M346" s="40" t="str">
        <f aca="false">IF(OR(E346="אולם חתונות גדול",E346="מתחם רב-אולמי",I346&gt;=2,D346="מרכז",D346="שרון",D346="ירושלים והסביבה"),"גבוה","בינוני")</f>
        <v>בינוני</v>
      </c>
    </row>
    <row r="347" customFormat="false" ht="23.85" hidden="false" customHeight="false" outlineLevel="0" collapsed="false">
      <c r="B347" s="37" t="n">
        <v>331</v>
      </c>
      <c r="C347" s="38" t="s">
        <v>781</v>
      </c>
      <c r="D347" s="30" t="s">
        <v>608</v>
      </c>
      <c r="E347" s="30" t="s">
        <v>175</v>
      </c>
      <c r="F347" s="30" t="s">
        <v>148</v>
      </c>
      <c r="G347" s="38"/>
      <c r="H347" s="38"/>
      <c r="I347" s="37" t="n">
        <v>1</v>
      </c>
      <c r="J347" s="38"/>
      <c r="K347" s="38"/>
      <c r="L347" s="38" t="s">
        <v>501</v>
      </c>
      <c r="M347" s="38" t="str">
        <f aca="false">IF(OR(E347="אולם חתונות גדול",E347="מתחם רב-אולמי",I347&gt;=2,D347="מרכז",D347="שרון",D347="ירושלים והסביבה"),"גבוה","בינוני")</f>
        <v>בינוני</v>
      </c>
    </row>
    <row r="348" customFormat="false" ht="23.85" hidden="false" customHeight="false" outlineLevel="0" collapsed="false">
      <c r="B348" s="39" t="n">
        <v>332</v>
      </c>
      <c r="C348" s="32" t="s">
        <v>782</v>
      </c>
      <c r="D348" s="32" t="s">
        <v>783</v>
      </c>
      <c r="E348" s="32" t="s">
        <v>282</v>
      </c>
      <c r="F348" s="32" t="s">
        <v>148</v>
      </c>
      <c r="G348" s="40"/>
      <c r="H348" s="40"/>
      <c r="I348" s="39" t="n">
        <v>1</v>
      </c>
      <c r="J348" s="40"/>
      <c r="K348" s="40"/>
      <c r="L348" s="40" t="s">
        <v>562</v>
      </c>
      <c r="M348" s="40" t="str">
        <f aca="false">IF(OR(E348="אולם חתונות גדול",E348="מתחם רב-אולמי",I348&gt;=2,D348="מרכז",D348="שרון",D348="ירושלים והסביבה"),"גבוה","בינוני")</f>
        <v>בינוני</v>
      </c>
    </row>
    <row r="349" customFormat="false" ht="15" hidden="false" customHeight="false" outlineLevel="0" collapsed="false">
      <c r="B349" s="37" t="n">
        <v>333</v>
      </c>
      <c r="C349" s="30" t="s">
        <v>784</v>
      </c>
      <c r="D349" s="30" t="s">
        <v>212</v>
      </c>
      <c r="E349" s="30" t="s">
        <v>168</v>
      </c>
      <c r="F349" s="30" t="s">
        <v>143</v>
      </c>
      <c r="G349" s="38"/>
      <c r="H349" s="38"/>
      <c r="I349" s="37" t="n">
        <v>1</v>
      </c>
      <c r="J349" s="38"/>
      <c r="K349" s="38"/>
      <c r="L349" s="38" t="s">
        <v>689</v>
      </c>
      <c r="M349" s="38" t="str">
        <f aca="false">IF(OR(E349="אולם חתונות גדול",E349="מתחם רב-אולמי",I349&gt;=2,D349="מרכז",D349="שרון",D349="ירושלים והסביבה"),"גבוה","בינוני")</f>
        <v>בינוני</v>
      </c>
    </row>
    <row r="350" customFormat="false" ht="15" hidden="false" customHeight="false" outlineLevel="0" collapsed="false">
      <c r="B350" s="39" t="n">
        <v>334</v>
      </c>
      <c r="C350" s="40" t="s">
        <v>785</v>
      </c>
      <c r="D350" s="32" t="s">
        <v>786</v>
      </c>
      <c r="E350" s="32" t="s">
        <v>175</v>
      </c>
      <c r="F350" s="32" t="s">
        <v>143</v>
      </c>
      <c r="G350" s="40"/>
      <c r="H350" s="40"/>
      <c r="I350" s="39" t="n">
        <v>1</v>
      </c>
      <c r="J350" s="40"/>
      <c r="K350" s="40"/>
      <c r="L350" s="40" t="s">
        <v>689</v>
      </c>
      <c r="M350" s="40" t="str">
        <f aca="false">IF(OR(E350="אולם חתונות גדול",E350="מתחם רב-אולמי",I350&gt;=2,D350="מרכז",D350="שרון",D350="ירושלים והסביבה"),"גבוה","בינוני")</f>
        <v>בינוני</v>
      </c>
    </row>
    <row r="351" customFormat="false" ht="15" hidden="false" customHeight="false" outlineLevel="0" collapsed="false">
      <c r="B351" s="37" t="n">
        <v>335</v>
      </c>
      <c r="C351" s="38" t="s">
        <v>787</v>
      </c>
      <c r="D351" s="30" t="s">
        <v>323</v>
      </c>
      <c r="E351" s="30" t="s">
        <v>175</v>
      </c>
      <c r="F351" s="30" t="s">
        <v>144</v>
      </c>
      <c r="G351" s="38"/>
      <c r="H351" s="38"/>
      <c r="I351" s="37" t="n">
        <v>1</v>
      </c>
      <c r="J351" s="38"/>
      <c r="K351" s="38"/>
      <c r="L351" s="38" t="s">
        <v>689</v>
      </c>
      <c r="M351" s="38" t="str">
        <f aca="false">IF(OR(E351="אולם חתונות גדול",E351="מתחם רב-אולמי",I351&gt;=2,D351="מרכז",D351="שרון",D351="ירושלים והסביבה"),"גבוה","בינוני")</f>
        <v>בינוני</v>
      </c>
    </row>
    <row r="352" customFormat="false" ht="15" hidden="false" customHeight="false" outlineLevel="0" collapsed="false">
      <c r="B352" s="39" t="n">
        <v>336</v>
      </c>
      <c r="C352" s="32" t="s">
        <v>788</v>
      </c>
      <c r="D352" s="32" t="s">
        <v>367</v>
      </c>
      <c r="E352" s="32" t="s">
        <v>168</v>
      </c>
      <c r="F352" s="32" t="s">
        <v>144</v>
      </c>
      <c r="G352" s="40"/>
      <c r="H352" s="40"/>
      <c r="I352" s="39" t="n">
        <v>1</v>
      </c>
      <c r="J352" s="40"/>
      <c r="K352" s="40"/>
      <c r="L352" s="40" t="s">
        <v>689</v>
      </c>
      <c r="M352" s="40" t="str">
        <f aca="false">IF(OR(E352="אולם חתונות גדול",E352="מתחם רב-אולמי",I352&gt;=2,D352="מרכז",D352="שרון",D352="ירושלים והסביבה"),"גבוה","בינוני")</f>
        <v>בינוני</v>
      </c>
    </row>
    <row r="353" customFormat="false" ht="15" hidden="false" customHeight="false" outlineLevel="0" collapsed="false">
      <c r="B353" s="37" t="n">
        <v>337</v>
      </c>
      <c r="C353" s="30" t="s">
        <v>789</v>
      </c>
      <c r="D353" s="30" t="s">
        <v>790</v>
      </c>
      <c r="E353" s="30" t="s">
        <v>175</v>
      </c>
      <c r="F353" s="30" t="s">
        <v>143</v>
      </c>
      <c r="G353" s="38"/>
      <c r="H353" s="38"/>
      <c r="I353" s="37" t="n">
        <v>1</v>
      </c>
      <c r="J353" s="38"/>
      <c r="K353" s="38"/>
      <c r="L353" s="38" t="s">
        <v>689</v>
      </c>
      <c r="M353" s="38" t="str">
        <f aca="false">IF(OR(E353="אולם חתונות גדול",E353="מתחם רב-אולמי",I353&gt;=2,D353="מרכז",D353="שרון",D353="ירושלים והסביבה"),"גבוה","בינוני")</f>
        <v>בינוני</v>
      </c>
    </row>
    <row r="354" customFormat="false" ht="15" hidden="false" customHeight="false" outlineLevel="0" collapsed="false">
      <c r="B354" s="39" t="n">
        <v>338</v>
      </c>
      <c r="C354" s="32" t="s">
        <v>791</v>
      </c>
      <c r="D354" s="32" t="s">
        <v>168</v>
      </c>
      <c r="E354" s="32" t="s">
        <v>168</v>
      </c>
      <c r="F354" s="32" t="s">
        <v>142</v>
      </c>
      <c r="G354" s="40"/>
      <c r="H354" s="40"/>
      <c r="I354" s="39" t="n">
        <v>1</v>
      </c>
      <c r="J354" s="40"/>
      <c r="K354" s="40"/>
      <c r="L354" s="40" t="s">
        <v>689</v>
      </c>
      <c r="M354" s="40" t="str">
        <f aca="false">IF(OR(E354="אולם חתונות גדול",E354="מתחם רב-אולמי",I354&gt;=2,D354="מרכז",D354="שרון",D354="ירושלים והסביבה"),"גבוה","בינוני")</f>
        <v>גבוה</v>
      </c>
    </row>
    <row r="355" customFormat="false" ht="15" hidden="false" customHeight="false" outlineLevel="0" collapsed="false">
      <c r="B355" s="37" t="n">
        <v>339</v>
      </c>
      <c r="C355" s="30" t="s">
        <v>792</v>
      </c>
      <c r="D355" s="30" t="s">
        <v>323</v>
      </c>
      <c r="E355" s="30" t="s">
        <v>175</v>
      </c>
      <c r="F355" s="30" t="s">
        <v>142</v>
      </c>
      <c r="G355" s="38"/>
      <c r="H355" s="30" t="s">
        <v>532</v>
      </c>
      <c r="I355" s="37" t="n">
        <v>1</v>
      </c>
      <c r="J355" s="38"/>
      <c r="K355" s="38"/>
      <c r="L355" s="38" t="s">
        <v>689</v>
      </c>
      <c r="M355" s="38" t="str">
        <f aca="false">IF(OR(E355="אולם חתונות גדול",E355="מתחם רב-אולמי",I355&gt;=2,D355="מרכז",D355="שרון",D355="ירושלים והסביבה"),"גבוה","בינוני")</f>
        <v>בינוני</v>
      </c>
    </row>
    <row r="356" customFormat="false" ht="15" hidden="false" customHeight="false" outlineLevel="0" collapsed="false">
      <c r="B356" s="39" t="n">
        <v>340</v>
      </c>
      <c r="C356" s="32" t="s">
        <v>793</v>
      </c>
      <c r="D356" s="32" t="s">
        <v>794</v>
      </c>
      <c r="E356" s="32" t="s">
        <v>188</v>
      </c>
      <c r="F356" s="32" t="s">
        <v>142</v>
      </c>
      <c r="G356" s="40"/>
      <c r="H356" s="40"/>
      <c r="I356" s="39" t="n">
        <v>1</v>
      </c>
      <c r="J356" s="40"/>
      <c r="K356" s="40"/>
      <c r="L356" s="40" t="s">
        <v>689</v>
      </c>
      <c r="M356" s="40" t="str">
        <f aca="false">IF(OR(E356="אולם חתונות גדול",E356="מתחם רב-אולמי",I356&gt;=2,D356="מרכז",D356="שרון",D356="ירושלים והסביבה"),"גבוה","בינוני")</f>
        <v>בינוני</v>
      </c>
    </row>
    <row r="357" customFormat="false" ht="15" hidden="false" customHeight="false" outlineLevel="0" collapsed="false">
      <c r="B357" s="37" t="n">
        <v>341</v>
      </c>
      <c r="C357" s="30" t="s">
        <v>795</v>
      </c>
      <c r="D357" s="30" t="s">
        <v>343</v>
      </c>
      <c r="E357" s="30" t="s">
        <v>168</v>
      </c>
      <c r="F357" s="30" t="s">
        <v>143</v>
      </c>
      <c r="G357" s="38"/>
      <c r="H357" s="38"/>
      <c r="I357" s="37" t="n">
        <v>1</v>
      </c>
      <c r="J357" s="38"/>
      <c r="K357" s="38"/>
      <c r="L357" s="38" t="s">
        <v>689</v>
      </c>
      <c r="M357" s="38" t="str">
        <f aca="false">IF(OR(E357="אולם חתונות גדול",E357="מתחם רב-אולמי",I357&gt;=2,D357="מרכז",D357="שרון",D357="ירושלים והסביבה"),"גבוה","בינוני")</f>
        <v>בינוני</v>
      </c>
    </row>
    <row r="358" customFormat="false" ht="15" hidden="false" customHeight="false" outlineLevel="0" collapsed="false">
      <c r="B358" s="39" t="n">
        <v>342</v>
      </c>
      <c r="C358" s="40" t="s">
        <v>796</v>
      </c>
      <c r="D358" s="32" t="s">
        <v>188</v>
      </c>
      <c r="E358" s="32" t="s">
        <v>188</v>
      </c>
      <c r="F358" s="32" t="s">
        <v>142</v>
      </c>
      <c r="G358" s="40"/>
      <c r="H358" s="40"/>
      <c r="I358" s="39" t="n">
        <v>1</v>
      </c>
      <c r="J358" s="40"/>
      <c r="K358" s="40"/>
      <c r="L358" s="40" t="s">
        <v>689</v>
      </c>
      <c r="M358" s="40" t="str">
        <f aca="false">IF(OR(E358="אולם חתונות גדול",E358="מתחם רב-אולמי",I358&gt;=2,D358="מרכז",D358="שרון",D358="ירושלים והסביבה"),"גבוה","בינוני")</f>
        <v>בינוני</v>
      </c>
    </row>
    <row r="360" customFormat="false" ht="15" hidden="false" customHeight="false" outlineLevel="0" collapsed="false">
      <c r="B360" s="41" t="s">
        <v>797</v>
      </c>
    </row>
  </sheetData>
  <autoFilter ref="B16:M3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80"/>
    <col collapsed="false" customWidth="true" hidden="false" outlineLevel="0" max="4" min="4" style="1" width="45"/>
    <col collapsed="false" customWidth="true" hidden="false" outlineLevel="0" max="5" min="5" style="1" width="22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37.5" hidden="false" customHeight="true" outlineLevel="0" collapsed="false">
      <c r="A2" s="10"/>
      <c r="B2" s="18" t="s">
        <v>798</v>
      </c>
    </row>
    <row r="3" customFormat="false" ht="27.75" hidden="false" customHeight="true" outlineLevel="0" collapsed="false">
      <c r="A3" s="10"/>
      <c r="B3" s="42" t="s">
        <v>799</v>
      </c>
    </row>
    <row r="4" customFormat="false" ht="27.75" hidden="false" customHeight="true" outlineLevel="0" collapsed="false">
      <c r="A4" s="10"/>
      <c r="B4" s="10"/>
      <c r="G4" s="10"/>
      <c r="H4" s="10"/>
      <c r="I4" s="10"/>
      <c r="J4" s="10"/>
    </row>
    <row r="5" customFormat="false" ht="27.75" hidden="false" customHeight="true" outlineLevel="0" collapsed="false">
      <c r="A5" s="10"/>
      <c r="B5" s="20" t="s">
        <v>800</v>
      </c>
      <c r="C5" s="20" t="s">
        <v>801</v>
      </c>
      <c r="D5" s="20" t="s">
        <v>802</v>
      </c>
      <c r="E5" s="10"/>
      <c r="F5" s="10"/>
      <c r="G5" s="10"/>
      <c r="H5" s="10"/>
      <c r="I5" s="10"/>
      <c r="J5" s="10"/>
    </row>
    <row r="6" customFormat="false" ht="27.75" hidden="false" customHeight="true" outlineLevel="0" collapsed="false">
      <c r="A6" s="10"/>
      <c r="B6" s="21" t="s">
        <v>803</v>
      </c>
      <c r="C6" s="21" t="s">
        <v>804</v>
      </c>
      <c r="D6" s="21" t="s">
        <v>805</v>
      </c>
      <c r="E6" s="10"/>
      <c r="F6" s="10"/>
      <c r="G6" s="10"/>
      <c r="H6" s="10"/>
      <c r="I6" s="10"/>
      <c r="J6" s="10"/>
    </row>
    <row r="7" customFormat="false" ht="27.75" hidden="false" customHeight="true" outlineLevel="0" collapsed="false">
      <c r="A7" s="10"/>
      <c r="B7" s="21" t="s">
        <v>806</v>
      </c>
      <c r="C7" s="21" t="s">
        <v>807</v>
      </c>
      <c r="D7" s="21" t="s">
        <v>808</v>
      </c>
      <c r="E7" s="10"/>
      <c r="F7" s="10"/>
      <c r="G7" s="10"/>
      <c r="H7" s="10"/>
      <c r="I7" s="10"/>
      <c r="J7" s="10"/>
    </row>
    <row r="8" customFormat="false" ht="27.75" hidden="false" customHeight="true" outlineLevel="0" collapsed="false">
      <c r="A8" s="10"/>
      <c r="B8" s="21" t="s">
        <v>809</v>
      </c>
      <c r="C8" s="21" t="s">
        <v>810</v>
      </c>
      <c r="D8" s="21" t="s">
        <v>811</v>
      </c>
      <c r="E8" s="10"/>
      <c r="F8" s="10"/>
      <c r="G8" s="10"/>
      <c r="H8" s="10"/>
      <c r="I8" s="10"/>
      <c r="J8" s="10"/>
    </row>
    <row r="9" customFormat="false" ht="27.75" hidden="false" customHeight="true" outlineLevel="0" collapsed="false">
      <c r="A9" s="10"/>
      <c r="B9" s="21" t="s">
        <v>812</v>
      </c>
      <c r="C9" s="21" t="s">
        <v>813</v>
      </c>
      <c r="D9" s="21" t="s">
        <v>814</v>
      </c>
      <c r="E9" s="10"/>
      <c r="F9" s="10"/>
      <c r="G9" s="10"/>
      <c r="H9" s="10"/>
      <c r="I9" s="10"/>
      <c r="J9" s="10"/>
    </row>
    <row r="10" customFormat="false" ht="27.75" hidden="false" customHeight="true" outlineLevel="0" collapsed="false">
      <c r="A10" s="10"/>
      <c r="B10" s="21" t="s">
        <v>815</v>
      </c>
      <c r="C10" s="21" t="s">
        <v>816</v>
      </c>
      <c r="D10" s="21" t="s">
        <v>817</v>
      </c>
      <c r="E10" s="10"/>
      <c r="F10" s="10"/>
      <c r="G10" s="10"/>
      <c r="H10" s="10"/>
      <c r="I10" s="10"/>
      <c r="J10" s="10"/>
    </row>
    <row r="11" customFormat="false" ht="27.75" hidden="false" customHeight="true" outlineLevel="0" collapsed="false">
      <c r="A11" s="10"/>
      <c r="B11" s="21" t="s">
        <v>818</v>
      </c>
      <c r="C11" s="21" t="s">
        <v>819</v>
      </c>
      <c r="D11" s="21" t="s">
        <v>820</v>
      </c>
      <c r="E11" s="10"/>
      <c r="F11" s="10"/>
      <c r="G11" s="10"/>
      <c r="H11" s="10"/>
      <c r="I11" s="10"/>
      <c r="J11" s="10"/>
    </row>
    <row r="12" customFormat="false" ht="27.75" hidden="false" customHeight="true" outlineLevel="0" collapsed="false">
      <c r="A12" s="10"/>
      <c r="B12" s="21" t="s">
        <v>821</v>
      </c>
      <c r="C12" s="21" t="s">
        <v>822</v>
      </c>
      <c r="D12" s="21" t="s">
        <v>823</v>
      </c>
      <c r="E12" s="10"/>
      <c r="F12" s="10"/>
      <c r="G12" s="10"/>
      <c r="H12" s="10"/>
      <c r="I12" s="10"/>
      <c r="J12" s="10"/>
    </row>
    <row r="13" customFormat="false" ht="27.75" hidden="false" customHeight="true" outlineLevel="0" collapsed="false">
      <c r="A13" s="10"/>
      <c r="B13" s="21" t="s">
        <v>824</v>
      </c>
      <c r="C13" s="21" t="s">
        <v>825</v>
      </c>
      <c r="D13" s="21" t="s">
        <v>826</v>
      </c>
      <c r="E13" s="10"/>
      <c r="F13" s="10"/>
      <c r="G13" s="10"/>
      <c r="H13" s="10"/>
      <c r="I13" s="10"/>
      <c r="J13" s="10"/>
    </row>
    <row r="14" customFormat="false" ht="27.75" hidden="false" customHeight="true" outlineLevel="0" collapsed="false">
      <c r="A14" s="10"/>
      <c r="B14" s="21" t="s">
        <v>827</v>
      </c>
      <c r="C14" s="21" t="s">
        <v>828</v>
      </c>
      <c r="D14" s="21" t="s">
        <v>829</v>
      </c>
      <c r="E14" s="10"/>
      <c r="F14" s="10"/>
      <c r="G14" s="10"/>
      <c r="H14" s="10"/>
      <c r="I14" s="10"/>
      <c r="J14" s="10"/>
    </row>
    <row r="15" customFormat="false" ht="27.75" hidden="false" customHeight="true" outlineLevel="0" collapsed="false">
      <c r="A15" s="10"/>
      <c r="B15" s="21" t="s">
        <v>830</v>
      </c>
      <c r="C15" s="21" t="s">
        <v>831</v>
      </c>
      <c r="D15" s="21" t="s">
        <v>135</v>
      </c>
      <c r="E15" s="10"/>
      <c r="F15" s="10"/>
      <c r="G15" s="10"/>
      <c r="H15" s="10"/>
      <c r="I15" s="10"/>
      <c r="J15" s="10"/>
    </row>
    <row r="16" customFormat="false" ht="27.75" hidden="false" customHeight="true" outlineLevel="0" collapsed="false">
      <c r="A16" s="10"/>
      <c r="B16" s="10"/>
      <c r="G16" s="10"/>
      <c r="H16" s="10"/>
      <c r="I16" s="10"/>
      <c r="J16" s="10"/>
    </row>
    <row r="17" customFormat="false" ht="27.7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27.75" hidden="false" customHeight="true" outlineLevel="0" collapsed="false">
      <c r="A18" s="10"/>
      <c r="B18" s="43" t="s">
        <v>832</v>
      </c>
      <c r="C18" s="10"/>
      <c r="D18" s="10"/>
      <c r="E18" s="10"/>
      <c r="F18" s="10"/>
      <c r="G18" s="10"/>
      <c r="H18" s="10"/>
      <c r="I18" s="10"/>
      <c r="J18" s="10"/>
    </row>
    <row r="19" customFormat="false" ht="27.75" hidden="false" customHeight="true" outlineLevel="0" collapsed="false">
      <c r="A19" s="10"/>
      <c r="B19" s="44" t="s">
        <v>833</v>
      </c>
      <c r="C19" s="44" t="s">
        <v>834</v>
      </c>
      <c r="D19" s="44" t="s">
        <v>835</v>
      </c>
      <c r="E19" s="10"/>
      <c r="F19" s="10"/>
      <c r="G19" s="10"/>
      <c r="H19" s="10"/>
      <c r="I19" s="10"/>
      <c r="J19" s="10"/>
    </row>
    <row r="20" customFormat="false" ht="27.75" hidden="false" customHeight="true" outlineLevel="0" collapsed="false">
      <c r="A20" s="10"/>
      <c r="B20" s="45" t="s">
        <v>836</v>
      </c>
      <c r="C20" s="45" t="s">
        <v>837</v>
      </c>
      <c r="D20" s="45" t="n">
        <v>450</v>
      </c>
      <c r="E20" s="10"/>
      <c r="F20" s="10"/>
      <c r="G20" s="10"/>
      <c r="H20" s="10"/>
      <c r="I20" s="10"/>
      <c r="J20" s="10"/>
    </row>
    <row r="21" customFormat="false" ht="27.75" hidden="false" customHeight="true" outlineLevel="0" collapsed="false">
      <c r="A21" s="10"/>
      <c r="B21" s="45" t="s">
        <v>838</v>
      </c>
      <c r="C21" s="45" t="s">
        <v>839</v>
      </c>
      <c r="D21" s="45" t="n">
        <f aca="false">D20*50%</f>
        <v>225</v>
      </c>
      <c r="E21" s="10"/>
      <c r="F21" s="10"/>
      <c r="G21" s="10"/>
      <c r="H21" s="10"/>
      <c r="I21" s="10"/>
      <c r="J21" s="10"/>
    </row>
    <row r="22" customFormat="false" ht="27.75" hidden="false" customHeight="true" outlineLevel="0" collapsed="false">
      <c r="A22" s="10"/>
      <c r="B22" s="45" t="s">
        <v>840</v>
      </c>
      <c r="C22" s="45" t="s">
        <v>841</v>
      </c>
      <c r="D22" s="45" t="n">
        <v>26</v>
      </c>
      <c r="E22" s="10"/>
      <c r="F22" s="10"/>
      <c r="G22" s="10"/>
      <c r="H22" s="10"/>
      <c r="I22" s="10"/>
      <c r="J22" s="10"/>
    </row>
    <row r="23" customFormat="false" ht="27.75" hidden="false" customHeight="true" outlineLevel="0" collapsed="false">
      <c r="A23" s="10"/>
      <c r="B23" s="45" t="s">
        <v>842</v>
      </c>
      <c r="C23" s="45" t="s">
        <v>843</v>
      </c>
      <c r="D23" s="45" t="n">
        <f aca="false">D21</f>
        <v>225</v>
      </c>
      <c r="E23" s="10"/>
      <c r="F23" s="10"/>
      <c r="G23" s="10"/>
      <c r="H23" s="10"/>
      <c r="I23" s="10"/>
      <c r="J23" s="10"/>
    </row>
    <row r="24" customFormat="false" ht="27.75" hidden="false" customHeight="true" outlineLevel="0" collapsed="false">
      <c r="A24" s="10"/>
      <c r="B24" s="45" t="s">
        <v>844</v>
      </c>
      <c r="C24" s="45" t="s">
        <v>845</v>
      </c>
      <c r="D24" s="45" t="n">
        <f aca="false">'💼 תוכנית עסקית'!C27*'💼 תוכנית עסקית'!C28</f>
        <v>112500</v>
      </c>
      <c r="E24" s="10"/>
      <c r="F24" s="10"/>
      <c r="G24" s="10"/>
      <c r="H24" s="10"/>
      <c r="I24" s="10"/>
      <c r="J24" s="10"/>
    </row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9" customFormat="false" ht="9.75" hidden="false" customHeight="true" outlineLevel="0" collapsed="false"/>
    <row r="30" customFormat="false" ht="21.7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</sheetData>
  <autoFilter ref="B5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9" min="9" style="0" width="30"/>
  </cols>
  <sheetData>
    <row r="2" customFormat="false" ht="17.15" hidden="false" customHeight="false" outlineLevel="0" collapsed="false">
      <c r="B2" s="26" t="s">
        <v>846</v>
      </c>
    </row>
    <row r="3" customFormat="false" ht="15" hidden="false" customHeight="false" outlineLevel="0" collapsed="false">
      <c r="B3" s="46" t="s">
        <v>847</v>
      </c>
    </row>
    <row r="5" customFormat="false" ht="33.75" hidden="false" customHeight="true" outlineLevel="0" collapsed="false">
      <c r="B5" s="29" t="s">
        <v>848</v>
      </c>
      <c r="C5" s="29" t="s">
        <v>849</v>
      </c>
      <c r="D5" s="29" t="s">
        <v>850</v>
      </c>
      <c r="E5" s="29" t="s">
        <v>851</v>
      </c>
      <c r="F5" s="29" t="s">
        <v>852</v>
      </c>
      <c r="G5" s="29" t="s">
        <v>853</v>
      </c>
      <c r="H5" s="29" t="s">
        <v>854</v>
      </c>
      <c r="I5" s="29" t="s">
        <v>855</v>
      </c>
    </row>
    <row r="6" customFormat="false" ht="26.1" hidden="false" customHeight="false" outlineLevel="0" collapsed="false">
      <c r="B6" s="30" t="s">
        <v>856</v>
      </c>
      <c r="C6" s="30" t="s">
        <v>857</v>
      </c>
      <c r="D6" s="30" t="s">
        <v>858</v>
      </c>
      <c r="E6" s="47" t="n">
        <v>450</v>
      </c>
      <c r="F6" s="47" t="n">
        <v>620</v>
      </c>
      <c r="G6" s="48" t="n">
        <f aca="false">IF(E6&gt;0,(F6-E6)/E6,"")</f>
        <v>0.377777777777778</v>
      </c>
      <c r="H6" s="30" t="s">
        <v>859</v>
      </c>
      <c r="I6" s="30" t="s">
        <v>860</v>
      </c>
    </row>
    <row r="7" customFormat="false" ht="23.85" hidden="false" customHeight="false" outlineLevel="0" collapsed="false">
      <c r="B7" s="32" t="s">
        <v>856</v>
      </c>
      <c r="C7" s="32" t="s">
        <v>861</v>
      </c>
      <c r="D7" s="32" t="s">
        <v>858</v>
      </c>
      <c r="E7" s="49" t="n">
        <v>350</v>
      </c>
      <c r="F7" s="49" t="n">
        <v>470</v>
      </c>
      <c r="G7" s="50" t="n">
        <f aca="false">IF(E7&gt;0,(F7-E7)/E7,"")</f>
        <v>0.342857142857143</v>
      </c>
      <c r="H7" s="32" t="s">
        <v>862</v>
      </c>
      <c r="I7" s="32" t="s">
        <v>863</v>
      </c>
    </row>
    <row r="8" customFormat="false" ht="15" hidden="false" customHeight="false" outlineLevel="0" collapsed="false">
      <c r="B8" s="30" t="s">
        <v>856</v>
      </c>
      <c r="C8" s="30" t="s">
        <v>864</v>
      </c>
      <c r="D8" s="30" t="s">
        <v>865</v>
      </c>
      <c r="E8" s="47" t="n">
        <v>300</v>
      </c>
      <c r="F8" s="47" t="n">
        <v>400</v>
      </c>
      <c r="G8" s="48" t="n">
        <f aca="false">IF(E8&gt;0,(F8-E8)/E8,"")</f>
        <v>0.333333333333333</v>
      </c>
      <c r="H8" s="30" t="s">
        <v>866</v>
      </c>
      <c r="I8" s="30" t="s">
        <v>867</v>
      </c>
    </row>
    <row r="9" customFormat="false" ht="15" hidden="false" customHeight="false" outlineLevel="0" collapsed="false">
      <c r="B9" s="32" t="s">
        <v>534</v>
      </c>
      <c r="C9" s="32" t="s">
        <v>868</v>
      </c>
      <c r="D9" s="32" t="s">
        <v>858</v>
      </c>
      <c r="E9" s="49" t="n">
        <v>450</v>
      </c>
      <c r="F9" s="49" t="n">
        <v>600</v>
      </c>
      <c r="G9" s="50" t="n">
        <f aca="false">IF(E9&gt;0,(F9-E9)/E9,"")</f>
        <v>0.333333333333333</v>
      </c>
      <c r="H9" s="32" t="s">
        <v>869</v>
      </c>
      <c r="I9" s="32" t="s">
        <v>870</v>
      </c>
    </row>
    <row r="10" customFormat="false" ht="23.85" hidden="false" customHeight="false" outlineLevel="0" collapsed="false">
      <c r="B10" s="30" t="s">
        <v>534</v>
      </c>
      <c r="C10" s="30" t="s">
        <v>175</v>
      </c>
      <c r="D10" s="30" t="s">
        <v>858</v>
      </c>
      <c r="E10" s="47" t="n">
        <v>480</v>
      </c>
      <c r="F10" s="47" t="n">
        <v>640</v>
      </c>
      <c r="G10" s="48" t="n">
        <f aca="false">IF(E10&gt;0,(F10-E10)/E10,"")</f>
        <v>0.333333333333333</v>
      </c>
      <c r="H10" s="30" t="s">
        <v>871</v>
      </c>
      <c r="I10" s="30" t="s">
        <v>872</v>
      </c>
    </row>
    <row r="11" customFormat="false" ht="26.1" hidden="false" customHeight="false" outlineLevel="0" collapsed="false">
      <c r="B11" s="32" t="s">
        <v>532</v>
      </c>
      <c r="C11" s="32" t="s">
        <v>873</v>
      </c>
      <c r="D11" s="32" t="s">
        <v>858</v>
      </c>
      <c r="E11" s="49" t="n">
        <v>350</v>
      </c>
      <c r="F11" s="49" t="n">
        <v>500</v>
      </c>
      <c r="G11" s="50" t="n">
        <f aca="false">IF(E11&gt;0,(F11-E11)/E11,"")</f>
        <v>0.428571428571429</v>
      </c>
      <c r="H11" s="32" t="s">
        <v>874</v>
      </c>
      <c r="I11" s="32" t="s">
        <v>875</v>
      </c>
    </row>
    <row r="12" customFormat="false" ht="15" hidden="false" customHeight="false" outlineLevel="0" collapsed="false">
      <c r="B12" s="30" t="s">
        <v>532</v>
      </c>
      <c r="C12" s="30" t="s">
        <v>876</v>
      </c>
      <c r="D12" s="30" t="s">
        <v>858</v>
      </c>
      <c r="E12" s="47" t="n">
        <v>380</v>
      </c>
      <c r="F12" s="47" t="n">
        <v>520</v>
      </c>
      <c r="G12" s="48" t="n">
        <f aca="false">IF(E12&gt;0,(F12-E12)/E12,"")</f>
        <v>0.368421052631579</v>
      </c>
      <c r="H12" s="30" t="s">
        <v>877</v>
      </c>
      <c r="I12" s="30" t="s">
        <v>878</v>
      </c>
    </row>
    <row r="13" customFormat="false" ht="15" hidden="false" customHeight="false" outlineLevel="0" collapsed="false">
      <c r="B13" s="32" t="s">
        <v>879</v>
      </c>
      <c r="C13" s="32" t="s">
        <v>880</v>
      </c>
      <c r="D13" s="32" t="s">
        <v>858</v>
      </c>
      <c r="E13" s="49" t="n">
        <v>380</v>
      </c>
      <c r="F13" s="49" t="n">
        <v>520</v>
      </c>
      <c r="G13" s="50" t="n">
        <f aca="false">IF(E13&gt;0,(F13-E13)/E13,"")</f>
        <v>0.368421052631579</v>
      </c>
      <c r="H13" s="32" t="s">
        <v>881</v>
      </c>
      <c r="I13" s="32" t="s">
        <v>882</v>
      </c>
    </row>
    <row r="14" customFormat="false" ht="15" hidden="false" customHeight="false" outlineLevel="0" collapsed="false">
      <c r="B14" s="30" t="s">
        <v>883</v>
      </c>
      <c r="C14" s="30" t="s">
        <v>884</v>
      </c>
      <c r="D14" s="30" t="s">
        <v>885</v>
      </c>
      <c r="E14" s="47" t="n">
        <v>300</v>
      </c>
      <c r="F14" s="47" t="n">
        <v>430</v>
      </c>
      <c r="G14" s="48" t="n">
        <f aca="false">IF(E14&gt;0,(F14-E14)/E14,"")</f>
        <v>0.433333333333333</v>
      </c>
      <c r="H14" s="30" t="s">
        <v>886</v>
      </c>
      <c r="I14" s="30" t="s">
        <v>887</v>
      </c>
    </row>
    <row r="15" customFormat="false" ht="15" hidden="false" customHeight="false" outlineLevel="0" collapsed="false">
      <c r="B15" s="32" t="s">
        <v>888</v>
      </c>
      <c r="C15" s="32" t="s">
        <v>889</v>
      </c>
      <c r="D15" s="32" t="s">
        <v>890</v>
      </c>
      <c r="E15" s="32" t="s">
        <v>891</v>
      </c>
      <c r="F15" s="32" t="s">
        <v>892</v>
      </c>
      <c r="G15" s="40" t="s">
        <v>893</v>
      </c>
      <c r="H15" s="32" t="s">
        <v>894</v>
      </c>
      <c r="I15" s="32" t="s">
        <v>895</v>
      </c>
    </row>
    <row r="16" customFormat="false" ht="23.85" hidden="false" customHeight="false" outlineLevel="0" collapsed="false">
      <c r="B16" s="30" t="s">
        <v>896</v>
      </c>
      <c r="C16" s="30" t="s">
        <v>889</v>
      </c>
      <c r="D16" s="30" t="s">
        <v>897</v>
      </c>
      <c r="E16" s="30" t="s">
        <v>891</v>
      </c>
      <c r="F16" s="30" t="s">
        <v>892</v>
      </c>
      <c r="G16" s="38" t="s">
        <v>893</v>
      </c>
      <c r="H16" s="30" t="s">
        <v>898</v>
      </c>
      <c r="I16" s="30" t="s">
        <v>899</v>
      </c>
    </row>
    <row r="18" customFormat="false" ht="15" hidden="false" customHeight="false" outlineLevel="0" collapsed="false">
      <c r="B18" s="28" t="s">
        <v>900</v>
      </c>
    </row>
    <row r="19" customFormat="false" ht="15" hidden="false" customHeight="true" outlineLevel="0" collapsed="false">
      <c r="B19" s="51" t="s">
        <v>901</v>
      </c>
      <c r="C19" s="51"/>
      <c r="D19" s="51"/>
      <c r="E19" s="51"/>
      <c r="F19" s="51"/>
      <c r="G19" s="51"/>
      <c r="H19" s="51"/>
      <c r="I19" s="51"/>
    </row>
    <row r="20" customFormat="false" ht="15" hidden="false" customHeight="true" outlineLevel="0" collapsed="false">
      <c r="B20" s="51" t="s">
        <v>902</v>
      </c>
      <c r="C20" s="51"/>
      <c r="D20" s="51"/>
      <c r="E20" s="51"/>
      <c r="F20" s="51"/>
      <c r="G20" s="51"/>
      <c r="H20" s="51"/>
      <c r="I20" s="51"/>
    </row>
    <row r="21" customFormat="false" ht="15" hidden="false" customHeight="true" outlineLevel="0" collapsed="false">
      <c r="B21" s="51" t="s">
        <v>903</v>
      </c>
      <c r="C21" s="51"/>
      <c r="D21" s="51"/>
      <c r="E21" s="51"/>
      <c r="F21" s="51"/>
      <c r="G21" s="51"/>
      <c r="H21" s="51"/>
      <c r="I21" s="51"/>
    </row>
    <row r="22" customFormat="false" ht="15" hidden="false" customHeight="true" outlineLevel="0" collapsed="false">
      <c r="B22" s="51" t="s">
        <v>904</v>
      </c>
      <c r="C22" s="51"/>
      <c r="D22" s="51"/>
      <c r="E22" s="51"/>
      <c r="F22" s="51"/>
      <c r="G22" s="51"/>
      <c r="H22" s="51"/>
      <c r="I22" s="51"/>
    </row>
  </sheetData>
  <mergeCells count="4">
    <mergeCell ref="B19:I19"/>
    <mergeCell ref="B20:I20"/>
    <mergeCell ref="B21:I21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45"/>
    <col collapsed="false" customWidth="true" hidden="false" outlineLevel="0" max="4" min="4" style="1" width="55"/>
    <col collapsed="false" customWidth="true" hidden="false" outlineLevel="0" max="5" min="5" style="1" width="50"/>
    <col collapsed="false" customWidth="true" hidden="false" outlineLevel="0" max="6" min="6" style="1" width="35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37.5" hidden="false" customHeight="true" outlineLevel="0" collapsed="false">
      <c r="A2" s="10"/>
      <c r="B2" s="17" t="s">
        <v>905</v>
      </c>
      <c r="C2" s="17"/>
      <c r="D2" s="17"/>
      <c r="E2" s="17"/>
      <c r="F2" s="17"/>
      <c r="G2" s="17"/>
      <c r="H2" s="17"/>
      <c r="I2" s="17"/>
      <c r="J2" s="17"/>
    </row>
    <row r="3" customFormat="false" ht="27.75" hidden="false" customHeight="true" outlineLevel="0" collapsed="false">
      <c r="A3" s="10"/>
      <c r="B3" s="19" t="s">
        <v>906</v>
      </c>
      <c r="C3" s="19"/>
      <c r="D3" s="19"/>
      <c r="E3" s="19"/>
      <c r="F3" s="19"/>
      <c r="G3" s="19"/>
      <c r="H3" s="19"/>
      <c r="I3" s="19"/>
      <c r="J3" s="19"/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</row>
    <row r="5" customFormat="false" ht="27.75" hidden="false" customHeight="true" outlineLevel="0" collapsed="false">
      <c r="A5" s="10"/>
      <c r="B5" s="20" t="s">
        <v>800</v>
      </c>
      <c r="C5" s="20" t="s">
        <v>907</v>
      </c>
      <c r="D5" s="20" t="s">
        <v>908</v>
      </c>
      <c r="E5" s="20" t="s">
        <v>909</v>
      </c>
      <c r="F5" s="20" t="s">
        <v>802</v>
      </c>
      <c r="G5" s="10"/>
      <c r="H5" s="10"/>
      <c r="I5" s="10"/>
      <c r="J5" s="10"/>
    </row>
    <row r="6" customFormat="false" ht="27.75" hidden="false" customHeight="true" outlineLevel="0" collapsed="false">
      <c r="A6" s="10"/>
      <c r="B6" s="21" t="s">
        <v>910</v>
      </c>
      <c r="C6" s="21" t="s">
        <v>911</v>
      </c>
      <c r="D6" s="21" t="s">
        <v>912</v>
      </c>
      <c r="E6" s="21" t="s">
        <v>913</v>
      </c>
      <c r="F6" s="21" t="s">
        <v>823</v>
      </c>
      <c r="G6" s="10"/>
      <c r="H6" s="10"/>
      <c r="I6" s="10"/>
      <c r="J6" s="10"/>
    </row>
    <row r="7" customFormat="false" ht="27.75" hidden="false" customHeight="true" outlineLevel="0" collapsed="false">
      <c r="A7" s="10"/>
      <c r="B7" s="21" t="s">
        <v>914</v>
      </c>
      <c r="C7" s="21" t="s">
        <v>915</v>
      </c>
      <c r="D7" s="21" t="s">
        <v>916</v>
      </c>
      <c r="E7" s="21" t="s">
        <v>917</v>
      </c>
      <c r="F7" s="21" t="s">
        <v>135</v>
      </c>
      <c r="G7" s="10"/>
      <c r="H7" s="10"/>
      <c r="I7" s="10"/>
      <c r="J7" s="10"/>
    </row>
    <row r="8" customFormat="false" ht="27.75" hidden="false" customHeight="true" outlineLevel="0" collapsed="false">
      <c r="A8" s="10"/>
      <c r="B8" s="21" t="s">
        <v>918</v>
      </c>
      <c r="C8" s="21" t="s">
        <v>919</v>
      </c>
      <c r="D8" s="21" t="s">
        <v>920</v>
      </c>
      <c r="E8" s="21" t="s">
        <v>921</v>
      </c>
      <c r="F8" s="21" t="s">
        <v>823</v>
      </c>
      <c r="G8" s="10"/>
      <c r="H8" s="10"/>
      <c r="I8" s="10"/>
      <c r="J8" s="10"/>
    </row>
    <row r="9" customFormat="false" ht="27.75" hidden="false" customHeight="true" outlineLevel="0" collapsed="false">
      <c r="A9" s="10"/>
      <c r="B9" s="21" t="s">
        <v>922</v>
      </c>
      <c r="C9" s="21" t="s">
        <v>923</v>
      </c>
      <c r="D9" s="21" t="s">
        <v>924</v>
      </c>
      <c r="E9" s="21" t="s">
        <v>925</v>
      </c>
      <c r="F9" s="21" t="s">
        <v>926</v>
      </c>
      <c r="G9" s="10"/>
      <c r="H9" s="10"/>
      <c r="I9" s="10"/>
      <c r="J9" s="10"/>
    </row>
    <row r="10" customFormat="false" ht="27.75" hidden="false" customHeight="true" outlineLevel="0" collapsed="false">
      <c r="A10" s="10"/>
      <c r="B10" s="21" t="s">
        <v>927</v>
      </c>
      <c r="C10" s="21" t="s">
        <v>928</v>
      </c>
      <c r="D10" s="21" t="s">
        <v>929</v>
      </c>
      <c r="E10" s="21" t="s">
        <v>930</v>
      </c>
      <c r="F10" s="21" t="s">
        <v>931</v>
      </c>
      <c r="G10" s="10"/>
      <c r="H10" s="10"/>
      <c r="I10" s="10"/>
      <c r="J10" s="10"/>
    </row>
    <row r="11" customFormat="false" ht="27.75" hidden="false" customHeight="true" outlineLevel="0" collapsed="false">
      <c r="A11" s="10"/>
      <c r="B11" s="21" t="s">
        <v>932</v>
      </c>
      <c r="C11" s="21" t="s">
        <v>933</v>
      </c>
      <c r="D11" s="21" t="s">
        <v>934</v>
      </c>
      <c r="E11" s="21" t="s">
        <v>935</v>
      </c>
      <c r="F11" s="21" t="s">
        <v>936</v>
      </c>
      <c r="G11" s="10"/>
      <c r="H11" s="10"/>
      <c r="I11" s="10"/>
      <c r="J11" s="10"/>
    </row>
    <row r="12" customFormat="false" ht="27.75" hidden="false" customHeight="true" outlineLevel="0" collapsed="false">
      <c r="A12" s="10"/>
      <c r="B12" s="21" t="s">
        <v>937</v>
      </c>
      <c r="C12" s="21" t="s">
        <v>938</v>
      </c>
      <c r="D12" s="21" t="s">
        <v>939</v>
      </c>
      <c r="E12" s="21" t="s">
        <v>940</v>
      </c>
      <c r="F12" s="21" t="s">
        <v>941</v>
      </c>
      <c r="G12" s="10"/>
      <c r="H12" s="10"/>
      <c r="I12" s="10"/>
      <c r="J12" s="10"/>
    </row>
    <row r="13" customFormat="false" ht="27.75" hidden="false" customHeight="true" outlineLevel="0" collapsed="false">
      <c r="A13" s="10"/>
      <c r="B13" s="21" t="s">
        <v>942</v>
      </c>
      <c r="C13" s="21" t="s">
        <v>943</v>
      </c>
      <c r="D13" s="21" t="s">
        <v>944</v>
      </c>
      <c r="E13" s="21" t="s">
        <v>945</v>
      </c>
      <c r="F13" s="21" t="s">
        <v>946</v>
      </c>
      <c r="G13" s="10"/>
      <c r="H13" s="10"/>
      <c r="I13" s="10"/>
      <c r="J13" s="10"/>
    </row>
  </sheetData>
  <autoFilter ref="B5:F13"/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50"/>
    <col collapsed="false" customWidth="true" hidden="false" outlineLevel="0" max="5" min="4" style="1" width="55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37.5" hidden="false" customHeight="true" outlineLevel="0" collapsed="false">
      <c r="A2" s="10"/>
      <c r="B2" s="17" t="s">
        <v>947</v>
      </c>
      <c r="C2" s="17"/>
      <c r="D2" s="17"/>
      <c r="E2" s="17"/>
      <c r="F2" s="17"/>
      <c r="G2" s="17"/>
      <c r="H2" s="17"/>
      <c r="I2" s="17"/>
      <c r="J2" s="17"/>
    </row>
    <row r="3" customFormat="false" ht="27.75" hidden="false" customHeight="true" outlineLevel="0" collapsed="false">
      <c r="A3" s="10"/>
      <c r="B3" s="19" t="s">
        <v>948</v>
      </c>
      <c r="C3" s="19"/>
      <c r="D3" s="19"/>
      <c r="E3" s="19"/>
      <c r="F3" s="19"/>
      <c r="G3" s="19"/>
      <c r="H3" s="19"/>
      <c r="I3" s="19"/>
      <c r="J3" s="19"/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</row>
    <row r="5" customFormat="false" ht="27.75" hidden="false" customHeight="true" outlineLevel="0" collapsed="false">
      <c r="A5" s="10"/>
      <c r="B5" s="20" t="s">
        <v>800</v>
      </c>
      <c r="C5" s="20" t="s">
        <v>949</v>
      </c>
      <c r="D5" s="20" t="s">
        <v>950</v>
      </c>
      <c r="E5" s="20" t="s">
        <v>951</v>
      </c>
      <c r="F5" s="10"/>
      <c r="G5" s="10"/>
      <c r="H5" s="10"/>
      <c r="I5" s="10"/>
      <c r="J5" s="10"/>
    </row>
    <row r="6" customFormat="false" ht="27.75" hidden="false" customHeight="true" outlineLevel="0" collapsed="false">
      <c r="A6" s="10"/>
      <c r="B6" s="21" t="s">
        <v>952</v>
      </c>
      <c r="C6" s="21" t="s">
        <v>953</v>
      </c>
      <c r="D6" s="21" t="s">
        <v>954</v>
      </c>
      <c r="E6" s="21" t="s">
        <v>955</v>
      </c>
      <c r="F6" s="10"/>
      <c r="G6" s="10"/>
      <c r="H6" s="10"/>
      <c r="I6" s="10"/>
      <c r="J6" s="10"/>
    </row>
    <row r="7" customFormat="false" ht="27.75" hidden="false" customHeight="true" outlineLevel="0" collapsed="false">
      <c r="A7" s="10"/>
      <c r="B7" s="21" t="s">
        <v>956</v>
      </c>
      <c r="C7" s="21" t="s">
        <v>957</v>
      </c>
      <c r="D7" s="21" t="s">
        <v>958</v>
      </c>
      <c r="E7" s="21" t="s">
        <v>959</v>
      </c>
      <c r="F7" s="10"/>
      <c r="G7" s="10"/>
      <c r="H7" s="10"/>
      <c r="I7" s="10"/>
      <c r="J7" s="10"/>
    </row>
    <row r="8" customFormat="false" ht="27.75" hidden="false" customHeight="true" outlineLevel="0" collapsed="false">
      <c r="A8" s="10"/>
      <c r="B8" s="21" t="s">
        <v>960</v>
      </c>
      <c r="C8" s="21" t="s">
        <v>961</v>
      </c>
      <c r="D8" s="21" t="s">
        <v>962</v>
      </c>
      <c r="E8" s="21" t="s">
        <v>963</v>
      </c>
      <c r="F8" s="10"/>
      <c r="G8" s="10"/>
      <c r="H8" s="10"/>
      <c r="I8" s="10"/>
      <c r="J8" s="10"/>
    </row>
    <row r="9" customFormat="false" ht="27.75" hidden="false" customHeight="true" outlineLevel="0" collapsed="false">
      <c r="A9" s="10"/>
      <c r="B9" s="21" t="s">
        <v>964</v>
      </c>
      <c r="C9" s="21" t="s">
        <v>965</v>
      </c>
      <c r="D9" s="21" t="s">
        <v>966</v>
      </c>
      <c r="E9" s="21" t="s">
        <v>967</v>
      </c>
      <c r="F9" s="10"/>
      <c r="G9" s="10"/>
      <c r="H9" s="10"/>
      <c r="I9" s="10"/>
      <c r="J9" s="10"/>
    </row>
    <row r="10" customFormat="false" ht="27.75" hidden="false" customHeight="true" outlineLevel="0" collapsed="false">
      <c r="A10" s="10"/>
      <c r="B10" s="21" t="s">
        <v>968</v>
      </c>
      <c r="C10" s="21" t="s">
        <v>969</v>
      </c>
      <c r="D10" s="21" t="s">
        <v>970</v>
      </c>
      <c r="E10" s="21" t="s">
        <v>971</v>
      </c>
      <c r="F10" s="10"/>
      <c r="G10" s="10"/>
      <c r="H10" s="10"/>
      <c r="I10" s="10"/>
      <c r="J10" s="10"/>
    </row>
    <row r="11" customFormat="false" ht="27.75" hidden="false" customHeight="true" outlineLevel="0" collapsed="false">
      <c r="A11" s="10"/>
      <c r="B11" s="21" t="s">
        <v>972</v>
      </c>
      <c r="C11" s="21" t="s">
        <v>973</v>
      </c>
      <c r="D11" s="21" t="s">
        <v>974</v>
      </c>
      <c r="E11" s="21" t="s">
        <v>975</v>
      </c>
      <c r="F11" s="10"/>
      <c r="G11" s="10"/>
      <c r="H11" s="10"/>
      <c r="I11" s="10"/>
      <c r="J11" s="10"/>
    </row>
    <row r="12" customFormat="false" ht="27.75" hidden="false" customHeight="true" outlineLevel="0" collapsed="false">
      <c r="A12" s="10"/>
      <c r="B12" s="21" t="s">
        <v>976</v>
      </c>
      <c r="C12" s="21" t="s">
        <v>977</v>
      </c>
      <c r="D12" s="21" t="s">
        <v>978</v>
      </c>
      <c r="E12" s="21" t="s">
        <v>979</v>
      </c>
      <c r="F12" s="10"/>
      <c r="G12" s="10"/>
      <c r="H12" s="10"/>
      <c r="I12" s="10"/>
      <c r="J12" s="10"/>
    </row>
    <row r="13" customFormat="false" ht="27.75" hidden="false" customHeight="true" outlineLevel="0" collapsed="false">
      <c r="A13" s="10"/>
      <c r="B13" s="21" t="s">
        <v>980</v>
      </c>
      <c r="C13" s="21" t="s">
        <v>981</v>
      </c>
      <c r="D13" s="21" t="s">
        <v>982</v>
      </c>
      <c r="E13" s="21" t="s">
        <v>983</v>
      </c>
      <c r="F13" s="10"/>
      <c r="G13" s="10"/>
      <c r="H13" s="10"/>
      <c r="I13" s="10"/>
      <c r="J13" s="10"/>
    </row>
    <row r="14" customFormat="false" ht="27.7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27.7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27.75" hidden="false" customHeight="true" outlineLevel="0" collapsed="false">
      <c r="A16" s="10"/>
      <c r="B16" s="25" t="s">
        <v>984</v>
      </c>
      <c r="C16" s="10"/>
      <c r="D16" s="10"/>
      <c r="E16" s="10"/>
      <c r="F16" s="10"/>
      <c r="G16" s="10"/>
      <c r="H16" s="10"/>
      <c r="I16" s="10"/>
      <c r="J16" s="10"/>
    </row>
  </sheetData>
  <autoFilter ref="B5:E13"/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8" topLeftCell="B39" activePane="bottomRight" state="frozen"/>
      <selection pane="topLeft" activeCell="A1" activeCellId="0" sqref="A1"/>
      <selection pane="topRight" activeCell="B1" activeCellId="0" sqref="B1"/>
      <selection pane="bottomLeft" activeCell="A39" activeCellId="0" sqref="A3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80"/>
    <col collapsed="false" customWidth="true" hidden="false" outlineLevel="0" max="5" min="4" style="1" width="16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</row>
    <row r="2" customFormat="false" ht="37.5" hidden="false" customHeight="true" outlineLevel="0" collapsed="false">
      <c r="A2" s="10"/>
      <c r="B2" s="18" t="s">
        <v>985</v>
      </c>
      <c r="F2" s="18"/>
      <c r="G2" s="18"/>
      <c r="H2" s="18"/>
    </row>
    <row r="3" customFormat="false" ht="27.75" hidden="false" customHeight="true" outlineLevel="0" collapsed="false">
      <c r="A3" s="10"/>
      <c r="B3" s="42" t="s">
        <v>986</v>
      </c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10"/>
      <c r="B5" s="10"/>
      <c r="C5" s="10"/>
      <c r="D5" s="10"/>
      <c r="E5" s="10"/>
      <c r="F5" s="10"/>
      <c r="G5" s="10"/>
      <c r="H5" s="10"/>
    </row>
    <row r="6" customFormat="false" ht="27.75" hidden="false" customHeight="true" outlineLevel="0" collapsed="false">
      <c r="A6" s="10"/>
      <c r="B6" s="10"/>
      <c r="F6" s="10"/>
      <c r="G6" s="10"/>
      <c r="H6" s="10"/>
    </row>
    <row r="7" customFormat="false" ht="27.75" hidden="false" customHeight="true" outlineLevel="0" collapsed="false">
      <c r="A7" s="10"/>
      <c r="B7" s="20" t="s">
        <v>987</v>
      </c>
      <c r="C7" s="20" t="s">
        <v>835</v>
      </c>
      <c r="D7" s="20" t="s">
        <v>988</v>
      </c>
      <c r="E7" s="20" t="s">
        <v>989</v>
      </c>
      <c r="F7" s="10"/>
      <c r="G7" s="10"/>
      <c r="H7" s="10"/>
    </row>
    <row r="8" customFormat="false" ht="27.75" hidden="false" customHeight="true" outlineLevel="0" collapsed="false">
      <c r="A8" s="10"/>
      <c r="B8" s="21" t="s">
        <v>990</v>
      </c>
      <c r="C8" s="52" t="n">
        <v>3500</v>
      </c>
      <c r="D8" s="21" t="s">
        <v>991</v>
      </c>
      <c r="E8" s="21" t="s">
        <v>992</v>
      </c>
      <c r="F8" s="10"/>
      <c r="G8" s="10"/>
      <c r="H8" s="10"/>
    </row>
    <row r="9" customFormat="false" ht="27.75" hidden="false" customHeight="true" outlineLevel="0" collapsed="false">
      <c r="A9" s="10"/>
      <c r="B9" s="21" t="s">
        <v>993</v>
      </c>
      <c r="C9" s="52" t="n">
        <v>200</v>
      </c>
      <c r="D9" s="21" t="s">
        <v>994</v>
      </c>
      <c r="E9" s="21" t="s">
        <v>992</v>
      </c>
      <c r="F9" s="10"/>
      <c r="G9" s="10"/>
      <c r="H9" s="10"/>
    </row>
    <row r="10" customFormat="false" ht="27.75" hidden="false" customHeight="true" outlineLevel="0" collapsed="false">
      <c r="A10" s="10"/>
      <c r="B10" s="21" t="s">
        <v>995</v>
      </c>
      <c r="C10" s="52" t="n">
        <v>50</v>
      </c>
      <c r="D10" s="21" t="s">
        <v>996</v>
      </c>
      <c r="E10" s="21" t="s">
        <v>992</v>
      </c>
      <c r="F10" s="10"/>
      <c r="G10" s="10"/>
      <c r="H10" s="10"/>
    </row>
    <row r="11" customFormat="false" ht="27.75" hidden="false" customHeight="true" outlineLevel="0" collapsed="false">
      <c r="A11" s="10"/>
      <c r="B11" s="21" t="s">
        <v>997</v>
      </c>
      <c r="C11" s="52" t="n">
        <v>100</v>
      </c>
      <c r="D11" s="21" t="s">
        <v>991</v>
      </c>
      <c r="E11" s="21" t="s">
        <v>992</v>
      </c>
      <c r="F11" s="10"/>
      <c r="G11" s="10"/>
      <c r="H11" s="10"/>
    </row>
    <row r="12" customFormat="false" ht="27.75" hidden="false" customHeight="true" outlineLevel="0" collapsed="false">
      <c r="A12" s="10"/>
      <c r="B12" s="21" t="s">
        <v>998</v>
      </c>
      <c r="C12" s="52" t="n">
        <v>200</v>
      </c>
      <c r="D12" s="21" t="s">
        <v>991</v>
      </c>
      <c r="E12" s="21" t="s">
        <v>992</v>
      </c>
      <c r="F12" s="10"/>
      <c r="G12" s="10"/>
      <c r="H12" s="10"/>
    </row>
    <row r="13" customFormat="false" ht="27.75" hidden="false" customHeight="true" outlineLevel="0" collapsed="false">
      <c r="A13" s="10"/>
      <c r="B13" s="21" t="s">
        <v>999</v>
      </c>
      <c r="C13" s="53" t="n">
        <f aca="false">AVERAGE(C11:C12)</f>
        <v>150</v>
      </c>
      <c r="D13" s="21" t="s">
        <v>991</v>
      </c>
      <c r="E13" s="21" t="s">
        <v>1000</v>
      </c>
      <c r="F13" s="10"/>
      <c r="G13" s="10"/>
      <c r="H13" s="10"/>
    </row>
    <row r="14" customFormat="false" ht="27.75" hidden="false" customHeight="true" outlineLevel="0" collapsed="false">
      <c r="A14" s="10"/>
      <c r="B14" s="21" t="s">
        <v>1001</v>
      </c>
      <c r="C14" s="54" t="n">
        <v>0.005</v>
      </c>
      <c r="D14" s="21" t="s">
        <v>1002</v>
      </c>
      <c r="E14" s="21" t="s">
        <v>992</v>
      </c>
      <c r="F14" s="10"/>
      <c r="G14" s="10"/>
      <c r="H14" s="10"/>
    </row>
    <row r="15" customFormat="false" ht="27.75" hidden="false" customHeight="true" outlineLevel="0" collapsed="false">
      <c r="A15" s="10"/>
      <c r="B15" s="21" t="s">
        <v>1003</v>
      </c>
      <c r="C15" s="54" t="n">
        <v>0.01</v>
      </c>
      <c r="D15" s="21" t="s">
        <v>1002</v>
      </c>
      <c r="E15" s="21" t="s">
        <v>992</v>
      </c>
      <c r="F15" s="10"/>
      <c r="G15" s="10"/>
      <c r="H15" s="10"/>
    </row>
    <row r="16" customFormat="false" ht="27.75" hidden="false" customHeight="true" outlineLevel="0" collapsed="false">
      <c r="A16" s="10"/>
      <c r="B16" s="21" t="s">
        <v>1004</v>
      </c>
      <c r="C16" s="55" t="n">
        <f aca="false">AVERAGE(C14:C15)</f>
        <v>0.0075</v>
      </c>
      <c r="D16" s="21" t="s">
        <v>1002</v>
      </c>
      <c r="E16" s="21" t="s">
        <v>1000</v>
      </c>
      <c r="F16" s="10"/>
      <c r="G16" s="10"/>
      <c r="H16" s="10"/>
    </row>
    <row r="17" customFormat="false" ht="27.75" hidden="false" customHeight="true" outlineLevel="0" collapsed="false">
      <c r="A17" s="10"/>
      <c r="B17" s="21" t="s">
        <v>1005</v>
      </c>
      <c r="C17" s="52" t="n">
        <v>400</v>
      </c>
      <c r="D17" s="21" t="s">
        <v>991</v>
      </c>
      <c r="E17" s="21" t="s">
        <v>992</v>
      </c>
      <c r="F17" s="10"/>
      <c r="G17" s="10"/>
      <c r="H17" s="10"/>
    </row>
    <row r="18" customFormat="false" ht="27.75" hidden="false" customHeight="true" outlineLevel="0" collapsed="false">
      <c r="A18" s="10"/>
      <c r="B18" s="21" t="s">
        <v>1006</v>
      </c>
      <c r="C18" s="52" t="n">
        <v>550</v>
      </c>
      <c r="D18" s="21" t="s">
        <v>991</v>
      </c>
      <c r="E18" s="21" t="s">
        <v>992</v>
      </c>
      <c r="F18" s="10"/>
      <c r="G18" s="10"/>
      <c r="H18" s="10"/>
    </row>
    <row r="19" customFormat="false" ht="27.75" hidden="false" customHeight="true" outlineLevel="0" collapsed="false">
      <c r="A19" s="10"/>
      <c r="B19" s="21" t="s">
        <v>1007</v>
      </c>
      <c r="C19" s="55" t="n">
        <f aca="false">C18/C17-1</f>
        <v>0.375</v>
      </c>
      <c r="D19" s="21" t="s">
        <v>1002</v>
      </c>
      <c r="E19" s="21" t="s">
        <v>1000</v>
      </c>
      <c r="F19" s="10"/>
      <c r="G19" s="10"/>
      <c r="H19" s="10"/>
    </row>
    <row r="20" customFormat="false" ht="27.75" hidden="false" customHeight="true" outlineLevel="0" collapsed="false">
      <c r="A20" s="10"/>
      <c r="B20" s="21" t="s">
        <v>1008</v>
      </c>
      <c r="C20" s="52" t="n">
        <v>24500</v>
      </c>
      <c r="D20" s="21" t="s">
        <v>994</v>
      </c>
      <c r="E20" s="21" t="s">
        <v>992</v>
      </c>
      <c r="F20" s="10"/>
      <c r="G20" s="10"/>
      <c r="H20" s="10"/>
    </row>
    <row r="21" customFormat="false" ht="27.75" hidden="false" customHeight="true" outlineLevel="0" collapsed="false">
      <c r="A21" s="10"/>
      <c r="B21" s="21" t="s">
        <v>1009</v>
      </c>
      <c r="C21" s="56" t="n">
        <v>100000</v>
      </c>
      <c r="F21" s="10"/>
      <c r="G21" s="10"/>
      <c r="H21" s="10"/>
    </row>
    <row r="22" customFormat="false" ht="27.75" hidden="false" customHeight="true" outlineLevel="0" collapsed="false">
      <c r="A22" s="10"/>
      <c r="B22" s="21" t="s">
        <v>1010</v>
      </c>
      <c r="C22" s="52" t="n">
        <v>50000</v>
      </c>
      <c r="D22" s="21" t="s">
        <v>991</v>
      </c>
      <c r="E22" s="21" t="s">
        <v>992</v>
      </c>
      <c r="F22" s="10"/>
      <c r="G22" s="10"/>
      <c r="H22" s="10"/>
    </row>
    <row r="23" customFormat="false" ht="27.75" hidden="false" customHeight="true" outlineLevel="0" collapsed="false">
      <c r="A23" s="10"/>
      <c r="B23" s="21" t="s">
        <v>1011</v>
      </c>
      <c r="C23" s="52" t="n">
        <v>50000</v>
      </c>
      <c r="D23" s="21" t="s">
        <v>991</v>
      </c>
      <c r="E23" s="21" t="s">
        <v>992</v>
      </c>
      <c r="F23" s="10"/>
      <c r="G23" s="10"/>
      <c r="H23" s="10"/>
    </row>
    <row r="24" customFormat="false" ht="27.75" hidden="false" customHeight="true" outlineLevel="0" collapsed="false">
      <c r="A24" s="10"/>
      <c r="B24" s="21" t="s">
        <v>1012</v>
      </c>
      <c r="C24" s="53" t="n">
        <f aca="false">SUM(C21:C23)</f>
        <v>200000</v>
      </c>
      <c r="D24" s="21" t="s">
        <v>991</v>
      </c>
      <c r="E24" s="21" t="s">
        <v>1000</v>
      </c>
      <c r="F24" s="10"/>
      <c r="G24" s="10"/>
      <c r="H24" s="10"/>
    </row>
    <row r="25" customFormat="false" ht="27.75" hidden="false" customHeight="true" outlineLevel="0" collapsed="false">
      <c r="A25" s="10"/>
      <c r="B25" s="21" t="s">
        <v>1013</v>
      </c>
      <c r="C25" s="57" t="n">
        <v>250</v>
      </c>
      <c r="D25" s="21" t="s">
        <v>1014</v>
      </c>
      <c r="E25" s="21" t="s">
        <v>992</v>
      </c>
      <c r="F25" s="10"/>
      <c r="G25" s="10"/>
      <c r="H25" s="10"/>
    </row>
    <row r="26" customFormat="false" ht="27.75" hidden="false" customHeight="true" outlineLevel="0" collapsed="false">
      <c r="A26" s="10"/>
      <c r="B26" s="21" t="s">
        <v>1015</v>
      </c>
      <c r="C26" s="54" t="n">
        <v>0.18</v>
      </c>
      <c r="D26" s="21" t="s">
        <v>1002</v>
      </c>
      <c r="E26" s="21" t="s">
        <v>992</v>
      </c>
      <c r="F26" s="10"/>
      <c r="G26" s="10"/>
      <c r="H26" s="10"/>
    </row>
    <row r="27" customFormat="false" ht="27.75" hidden="false" customHeight="true" outlineLevel="0" collapsed="false">
      <c r="A27" s="10"/>
      <c r="B27" s="21" t="s">
        <v>1016</v>
      </c>
      <c r="C27" s="52" t="n">
        <v>22500</v>
      </c>
      <c r="D27" s="21" t="s">
        <v>991</v>
      </c>
      <c r="E27" s="21" t="s">
        <v>992</v>
      </c>
      <c r="F27" s="10"/>
      <c r="G27" s="10"/>
      <c r="H27" s="10"/>
    </row>
    <row r="28" customFormat="false" ht="27.75" hidden="false" customHeight="true" outlineLevel="0" collapsed="false">
      <c r="A28" s="10"/>
      <c r="B28" s="21" t="s">
        <v>1017</v>
      </c>
      <c r="C28" s="57" t="n">
        <v>5</v>
      </c>
      <c r="D28" s="21" t="s">
        <v>1018</v>
      </c>
      <c r="E28" s="21" t="s">
        <v>992</v>
      </c>
      <c r="F28" s="10"/>
      <c r="G28" s="10"/>
      <c r="H28" s="10"/>
    </row>
    <row r="29" customFormat="false" ht="27.75" hidden="false" customHeight="true" outlineLevel="0" collapsed="false">
      <c r="A29" s="10"/>
      <c r="B29" s="21" t="s">
        <v>1019</v>
      </c>
      <c r="C29" s="53" t="n">
        <f aca="false">C10+C13+C27*C16</f>
        <v>368.75</v>
      </c>
      <c r="D29" s="21" t="s">
        <v>991</v>
      </c>
      <c r="E29" s="21" t="s">
        <v>1000</v>
      </c>
      <c r="F29" s="10"/>
      <c r="G29" s="10"/>
      <c r="H29" s="10"/>
    </row>
    <row r="30" customFormat="false" ht="27.75" hidden="false" customHeight="true" outlineLevel="0" collapsed="false">
      <c r="A30" s="10"/>
      <c r="B30" s="21" t="s">
        <v>1020</v>
      </c>
      <c r="C30" s="56" t="n">
        <f aca="false">C29*C28-C9</f>
        <v>1643.75</v>
      </c>
      <c r="F30" s="10"/>
      <c r="G30" s="10"/>
      <c r="H30" s="10"/>
    </row>
    <row r="31" customFormat="false" ht="27.75" hidden="false" customHeight="true" outlineLevel="0" collapsed="false">
      <c r="A31" s="10"/>
      <c r="B31" s="21" t="s">
        <v>1021</v>
      </c>
      <c r="C31" s="58" t="n">
        <f aca="false">ROUNDUP(C20/C30,0)</f>
        <v>15</v>
      </c>
      <c r="D31" s="21" t="s">
        <v>1022</v>
      </c>
      <c r="E31" s="21" t="s">
        <v>1000</v>
      </c>
      <c r="F31" s="10"/>
      <c r="G31" s="10"/>
      <c r="H31" s="10"/>
    </row>
    <row r="32" customFormat="false" ht="27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27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27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27.75" hidden="false" customHeight="true" outlineLevel="0" collapsed="false">
      <c r="A37" s="10"/>
      <c r="B37" s="43" t="s">
        <v>1023</v>
      </c>
      <c r="C37" s="10"/>
      <c r="D37" s="10"/>
      <c r="E37" s="10"/>
      <c r="F37" s="10"/>
      <c r="G37" s="10"/>
      <c r="H37" s="10"/>
    </row>
    <row r="38" customFormat="false" ht="27.75" hidden="false" customHeight="true" outlineLevel="0" collapsed="false">
      <c r="A38" s="10"/>
      <c r="B38" s="20" t="s">
        <v>1024</v>
      </c>
      <c r="C38" s="20" t="s">
        <v>1025</v>
      </c>
      <c r="D38" s="10"/>
      <c r="E38" s="10"/>
      <c r="F38" s="10"/>
      <c r="G38" s="10"/>
      <c r="H38" s="10"/>
    </row>
    <row r="39" customFormat="false" ht="27.75" hidden="false" customHeight="true" outlineLevel="0" collapsed="false">
      <c r="A39" s="10"/>
      <c r="B39" s="21" t="s">
        <v>1026</v>
      </c>
      <c r="C39" s="21" t="s">
        <v>1027</v>
      </c>
      <c r="D39" s="10"/>
      <c r="E39" s="10"/>
      <c r="F39" s="10"/>
      <c r="G39" s="10"/>
      <c r="H39" s="10"/>
    </row>
    <row r="40" customFormat="false" ht="27.75" hidden="false" customHeight="true" outlineLevel="0" collapsed="false">
      <c r="A40" s="10"/>
      <c r="B40" s="21" t="s">
        <v>1028</v>
      </c>
      <c r="C40" s="21" t="s">
        <v>1029</v>
      </c>
      <c r="D40" s="10"/>
      <c r="E40" s="10"/>
      <c r="F40" s="10"/>
      <c r="G40" s="10"/>
      <c r="H40" s="10"/>
    </row>
    <row r="41" customFormat="false" ht="27.75" hidden="false" customHeight="true" outlineLevel="0" collapsed="false">
      <c r="A41" s="10"/>
      <c r="B41" s="21" t="s">
        <v>1014</v>
      </c>
      <c r="C41" s="21" t="s">
        <v>1030</v>
      </c>
      <c r="D41" s="10"/>
      <c r="E41" s="10"/>
      <c r="F41" s="10"/>
      <c r="G41" s="10"/>
      <c r="H41" s="10"/>
    </row>
    <row r="42" customFormat="false" ht="27.75" hidden="false" customHeight="true" outlineLevel="0" collapsed="false">
      <c r="A42" s="10"/>
      <c r="B42" s="21" t="s">
        <v>1031</v>
      </c>
      <c r="C42" s="21" t="s">
        <v>1032</v>
      </c>
      <c r="D42" s="10"/>
      <c r="E42" s="10"/>
      <c r="F42" s="10"/>
      <c r="G42" s="10"/>
      <c r="H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27.75" hidden="false" customHeight="true" outlineLevel="0" collapsed="false">
      <c r="A45" s="10"/>
      <c r="B45" s="25" t="s">
        <v>1033</v>
      </c>
      <c r="C45" s="10"/>
      <c r="D45" s="10"/>
      <c r="E45" s="10"/>
      <c r="F45" s="10"/>
      <c r="G45" s="10"/>
      <c r="H45" s="10"/>
    </row>
  </sheetData>
  <autoFilter ref="B38:C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8"/>
    <col collapsed="false" customWidth="true" hidden="false" outlineLevel="0" max="12" min="10" style="1" width="12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37.5" hidden="false" customHeight="true" outlineLevel="0" collapsed="false">
      <c r="A2" s="10"/>
      <c r="B2" s="18" t="s">
        <v>1034</v>
      </c>
      <c r="M2" s="18"/>
    </row>
    <row r="3" customFormat="false" ht="27.75" hidden="false" customHeight="true" outlineLevel="0" collapsed="false">
      <c r="A3" s="10"/>
      <c r="B3" s="42" t="s">
        <v>1035</v>
      </c>
      <c r="M3" s="42"/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27.75" hidden="false" customHeight="true" outlineLevel="0" collapsed="false">
      <c r="A5" s="10"/>
      <c r="B5" s="43" t="s">
        <v>1036</v>
      </c>
      <c r="M5" s="10"/>
    </row>
    <row r="6" customFormat="false" ht="27.75" hidden="false" customHeight="true" outlineLevel="0" collapsed="false">
      <c r="A6" s="10"/>
      <c r="B6" s="44" t="s">
        <v>1037</v>
      </c>
      <c r="C6" s="59" t="n">
        <v>1</v>
      </c>
      <c r="D6" s="59" t="n">
        <v>2</v>
      </c>
      <c r="E6" s="59" t="n">
        <v>3</v>
      </c>
      <c r="F6" s="59" t="n">
        <v>4</v>
      </c>
      <c r="G6" s="59" t="n">
        <v>5</v>
      </c>
      <c r="H6" s="59" t="n">
        <v>6</v>
      </c>
      <c r="I6" s="59" t="n">
        <v>7</v>
      </c>
      <c r="J6" s="59" t="n">
        <v>8</v>
      </c>
      <c r="K6" s="59" t="n">
        <v>9</v>
      </c>
      <c r="L6" s="59" t="n">
        <v>10</v>
      </c>
      <c r="M6" s="10"/>
    </row>
    <row r="7" customFormat="false" ht="27.75" hidden="false" customHeight="true" outlineLevel="0" collapsed="false">
      <c r="A7" s="10"/>
      <c r="B7" s="60" t="n">
        <v>10000</v>
      </c>
      <c r="C7" s="61" t="n">
        <f aca="false">(C$6*('💼 תוכנית עסקית'!$C$10+'💼 תוכנית עסקית'!$C$13+$B7*'💼 תוכנית עסקית'!$C$16))-'💼 תוכנית עסקית'!$C$9</f>
        <v>75</v>
      </c>
      <c r="D7" s="61" t="n">
        <f aca="false">(D$6*('💼 תוכנית עסקית'!$C$10+'💼 תוכנית עסקית'!$C$13+$B7*'💼 תוכנית עסקית'!$C$16))-'💼 תוכנית עסקית'!$C$9</f>
        <v>350</v>
      </c>
      <c r="E7" s="61" t="n">
        <f aca="false">(E$6*('💼 תוכנית עסקית'!$C$10+'💼 תוכנית עסקית'!$C$13+$B7*'💼 תוכנית עסקית'!$C$16))-'💼 תוכנית עסקית'!$C$9</f>
        <v>625</v>
      </c>
      <c r="F7" s="61" t="n">
        <f aca="false">(F$6*('💼 תוכנית עסקית'!$C$10+'💼 תוכנית עסקית'!$C$13+$B7*'💼 תוכנית עסקית'!$C$16))-'💼 תוכנית עסקית'!$C$9</f>
        <v>900</v>
      </c>
      <c r="G7" s="61" t="n">
        <f aca="false">(G$6*('💼 תוכנית עסקית'!$C$10+'💼 תוכנית עסקית'!$C$13+$B7*'💼 תוכנית עסקית'!$C$16))-'💼 תוכנית עסקית'!$C$9</f>
        <v>1175</v>
      </c>
      <c r="H7" s="61" t="n">
        <f aca="false">(H$6*('💼 תוכנית עסקית'!$C$10+'💼 תוכנית עסקית'!$C$13+$B7*'💼 תוכנית עסקית'!$C$16))-'💼 תוכנית עסקית'!$C$9</f>
        <v>1450</v>
      </c>
      <c r="I7" s="61" t="n">
        <f aca="false">(I$6*('💼 תוכנית עסקית'!$C$10+'💼 תוכנית עסקית'!$C$13+$B7*'💼 תוכנית עסקית'!$C$16))-'💼 תוכנית עסקית'!$C$9</f>
        <v>1725</v>
      </c>
      <c r="J7" s="61" t="n">
        <f aca="false">(J$6*('💼 תוכנית עסקית'!$C$10+'💼 תוכנית עסקית'!$C$13+$B7*'💼 תוכנית עסקית'!$C$16))-'💼 תוכנית עסקית'!$C$9</f>
        <v>2000</v>
      </c>
      <c r="K7" s="61" t="n">
        <f aca="false">(K$6*('💼 תוכנית עסקית'!$C$10+'💼 תוכנית עסקית'!$C$13+$B7*'💼 תוכנית עסקית'!$C$16))-'💼 תוכנית עסקית'!$C$9</f>
        <v>2275</v>
      </c>
      <c r="L7" s="61" t="n">
        <f aca="false">(L$6*('💼 תוכנית עסקית'!$C$10+'💼 תוכנית עסקית'!$C$13+$B7*'💼 תוכנית עסקית'!$C$16))-'💼 תוכנית עסקית'!$C$9</f>
        <v>2550</v>
      </c>
      <c r="M7" s="10"/>
    </row>
    <row r="8" customFormat="false" ht="27.75" hidden="false" customHeight="true" outlineLevel="0" collapsed="false">
      <c r="A8" s="10"/>
      <c r="B8" s="60" t="n">
        <v>12500</v>
      </c>
      <c r="C8" s="61" t="n">
        <f aca="false">(C$6*('💼 תוכנית עסקית'!$C$10+'💼 תוכנית עסקית'!$C$13+$B8*'💼 תוכנית עסקית'!$C$16))-'💼 תוכנית עסקית'!$C$9</f>
        <v>93.75</v>
      </c>
      <c r="D8" s="61" t="n">
        <f aca="false">(D$6*('💼 תוכנית עסקית'!$C$10+'💼 תוכנית עסקית'!$C$13+$B8*'💼 תוכנית עסקית'!$C$16))-'💼 תוכנית עסקית'!$C$9</f>
        <v>387.5</v>
      </c>
      <c r="E8" s="61" t="n">
        <f aca="false">(E$6*('💼 תוכנית עסקית'!$C$10+'💼 תוכנית עסקית'!$C$13+$B8*'💼 תוכנית עסקית'!$C$16))-'💼 תוכנית עסקית'!$C$9</f>
        <v>681.25</v>
      </c>
      <c r="F8" s="61" t="n">
        <f aca="false">(F$6*('💼 תוכנית עסקית'!$C$10+'💼 תוכנית עסקית'!$C$13+$B8*'💼 תוכנית עסקית'!$C$16))-'💼 תוכנית עסקית'!$C$9</f>
        <v>975</v>
      </c>
      <c r="G8" s="61" t="n">
        <f aca="false">(G$6*('💼 תוכנית עסקית'!$C$10+'💼 תוכנית עסקית'!$C$13+$B8*'💼 תוכנית עסקית'!$C$16))-'💼 תוכנית עסקית'!$C$9</f>
        <v>1268.75</v>
      </c>
      <c r="H8" s="61" t="n">
        <f aca="false">(H$6*('💼 תוכנית עסקית'!$C$10+'💼 תוכנית עסקית'!$C$13+$B8*'💼 תוכנית עסקית'!$C$16))-'💼 תוכנית עסקית'!$C$9</f>
        <v>1562.5</v>
      </c>
      <c r="I8" s="61" t="n">
        <f aca="false">(I$6*('💼 תוכנית עסקית'!$C$10+'💼 תוכנית עסקית'!$C$13+$B8*'💼 תוכנית עסקית'!$C$16))-'💼 תוכנית עסקית'!$C$9</f>
        <v>1856.25</v>
      </c>
      <c r="J8" s="61" t="n">
        <f aca="false">(J$6*('💼 תוכנית עסקית'!$C$10+'💼 תוכנית עסקית'!$C$13+$B8*'💼 תוכנית עסקית'!$C$16))-'💼 תוכנית עסקית'!$C$9</f>
        <v>2150</v>
      </c>
      <c r="K8" s="61" t="n">
        <f aca="false">(K$6*('💼 תוכנית עסקית'!$C$10+'💼 תוכנית עסקית'!$C$13+$B8*'💼 תוכנית עסקית'!$C$16))-'💼 תוכנית עסקית'!$C$9</f>
        <v>2443.75</v>
      </c>
      <c r="L8" s="61" t="n">
        <f aca="false">(L$6*('💼 תוכנית עסקית'!$C$10+'💼 תוכנית עסקית'!$C$13+$B8*'💼 תוכנית עסקית'!$C$16))-'💼 תוכנית עסקית'!$C$9</f>
        <v>2737.5</v>
      </c>
      <c r="M8" s="10"/>
    </row>
    <row r="9" customFormat="false" ht="27.75" hidden="false" customHeight="true" outlineLevel="0" collapsed="false">
      <c r="A9" s="10"/>
      <c r="B9" s="60" t="n">
        <v>15000</v>
      </c>
      <c r="C9" s="61" t="n">
        <f aca="false">(C$6*('💼 תוכנית עסקית'!$C$10+'💼 תוכנית עסקית'!$C$13+$B9*'💼 תוכנית עסקית'!$C$16))-'💼 תוכנית עסקית'!$C$9</f>
        <v>112.5</v>
      </c>
      <c r="D9" s="61" t="n">
        <f aca="false">(D$6*('💼 תוכנית עסקית'!$C$10+'💼 תוכנית עסקית'!$C$13+$B9*'💼 תוכנית עסקית'!$C$16))-'💼 תוכנית עסקית'!$C$9</f>
        <v>425</v>
      </c>
      <c r="E9" s="61" t="n">
        <f aca="false">(E$6*('💼 תוכנית עסקית'!$C$10+'💼 תוכנית עסקית'!$C$13+$B9*'💼 תוכנית עסקית'!$C$16))-'💼 תוכנית עסקית'!$C$9</f>
        <v>737.5</v>
      </c>
      <c r="F9" s="61" t="n">
        <f aca="false">(F$6*('💼 תוכנית עסקית'!$C$10+'💼 תוכנית עסקית'!$C$13+$B9*'💼 תוכנית עסקית'!$C$16))-'💼 תוכנית עסקית'!$C$9</f>
        <v>1050</v>
      </c>
      <c r="G9" s="61" t="n">
        <f aca="false">(G$6*('💼 תוכנית עסקית'!$C$10+'💼 תוכנית עסקית'!$C$13+$B9*'💼 תוכנית עסקית'!$C$16))-'💼 תוכנית עסקית'!$C$9</f>
        <v>1362.5</v>
      </c>
      <c r="H9" s="61" t="n">
        <f aca="false">(H$6*('💼 תוכנית עסקית'!$C$10+'💼 תוכנית עסקית'!$C$13+$B9*'💼 תוכנית עסקית'!$C$16))-'💼 תוכנית עסקית'!$C$9</f>
        <v>1675</v>
      </c>
      <c r="I9" s="61" t="n">
        <f aca="false">(I$6*('💼 תוכנית עסקית'!$C$10+'💼 תוכנית עסקית'!$C$13+$B9*'💼 תוכנית עסקית'!$C$16))-'💼 תוכנית עסקית'!$C$9</f>
        <v>1987.5</v>
      </c>
      <c r="J9" s="61" t="n">
        <f aca="false">(J$6*('💼 תוכנית עסקית'!$C$10+'💼 תוכנית עסקית'!$C$13+$B9*'💼 תוכנית עסקית'!$C$16))-'💼 תוכנית עסקית'!$C$9</f>
        <v>2300</v>
      </c>
      <c r="K9" s="61" t="n">
        <f aca="false">(K$6*('💼 תוכנית עסקית'!$C$10+'💼 תוכנית עסקית'!$C$13+$B9*'💼 תוכנית עסקית'!$C$16))-'💼 תוכנית עסקית'!$C$9</f>
        <v>2612.5</v>
      </c>
      <c r="L9" s="61" t="n">
        <f aca="false">(L$6*('💼 תוכנית עסקית'!$C$10+'💼 תוכנית עסקית'!$C$13+$B9*'💼 תוכנית עסקית'!$C$16))-'💼 תוכנית עסקית'!$C$9</f>
        <v>2925</v>
      </c>
      <c r="M9" s="10"/>
    </row>
    <row r="10" customFormat="false" ht="27.75" hidden="false" customHeight="true" outlineLevel="0" collapsed="false">
      <c r="A10" s="10"/>
      <c r="B10" s="60" t="n">
        <v>17500</v>
      </c>
      <c r="C10" s="61" t="n">
        <f aca="false">(C$6*('💼 תוכנית עסקית'!$C$10+'💼 תוכנית עסקית'!$C$13+$B10*'💼 תוכנית עסקית'!$C$16))-'💼 תוכנית עסקית'!$C$9</f>
        <v>131.25</v>
      </c>
      <c r="D10" s="61" t="n">
        <f aca="false">(D$6*('💼 תוכנית עסקית'!$C$10+'💼 תוכנית עסקית'!$C$13+$B10*'💼 תוכנית עסקית'!$C$16))-'💼 תוכנית עסקית'!$C$9</f>
        <v>462.5</v>
      </c>
      <c r="E10" s="61" t="n">
        <f aca="false">(E$6*('💼 תוכנית עסקית'!$C$10+'💼 תוכנית עסקית'!$C$13+$B10*'💼 תוכנית עסקית'!$C$16))-'💼 תוכנית עסקית'!$C$9</f>
        <v>793.75</v>
      </c>
      <c r="F10" s="61" t="n">
        <f aca="false">(F$6*('💼 תוכנית עסקית'!$C$10+'💼 תוכנית עסקית'!$C$13+$B10*'💼 תוכנית עסקית'!$C$16))-'💼 תוכנית עסקית'!$C$9</f>
        <v>1125</v>
      </c>
      <c r="G10" s="61" t="n">
        <f aca="false">(G$6*('💼 תוכנית עסקית'!$C$10+'💼 תוכנית עסקית'!$C$13+$B10*'💼 תוכנית עסקית'!$C$16))-'💼 תוכנית עסקית'!$C$9</f>
        <v>1456.25</v>
      </c>
      <c r="H10" s="61" t="n">
        <f aca="false">(H$6*('💼 תוכנית עסקית'!$C$10+'💼 תוכנית עסקית'!$C$13+$B10*'💼 תוכנית עסקית'!$C$16))-'💼 תוכנית עסקית'!$C$9</f>
        <v>1787.5</v>
      </c>
      <c r="I10" s="61" t="n">
        <f aca="false">(I$6*('💼 תוכנית עסקית'!$C$10+'💼 תוכנית עסקית'!$C$13+$B10*'💼 תוכנית עסקית'!$C$16))-'💼 תוכנית עסקית'!$C$9</f>
        <v>2118.75</v>
      </c>
      <c r="J10" s="61" t="n">
        <f aca="false">(J$6*('💼 תוכנית עסקית'!$C$10+'💼 תוכנית עסקית'!$C$13+$B10*'💼 תוכנית עסקית'!$C$16))-'💼 תוכנית עסקית'!$C$9</f>
        <v>2450</v>
      </c>
      <c r="K10" s="61" t="n">
        <f aca="false">(K$6*('💼 תוכנית עסקית'!$C$10+'💼 תוכנית עסקית'!$C$13+$B10*'💼 תוכנית עסקית'!$C$16))-'💼 תוכנית עסקית'!$C$9</f>
        <v>2781.25</v>
      </c>
      <c r="L10" s="61" t="n">
        <f aca="false">(L$6*('💼 תוכנית עסקית'!$C$10+'💼 תוכנית עסקית'!$C$13+$B10*'💼 תוכנית עסקית'!$C$16))-'💼 תוכנית עסקית'!$C$9</f>
        <v>3112.5</v>
      </c>
      <c r="M10" s="10"/>
    </row>
    <row r="11" customFormat="false" ht="27.75" hidden="false" customHeight="true" outlineLevel="0" collapsed="false">
      <c r="A11" s="10"/>
      <c r="B11" s="60" t="n">
        <v>20000</v>
      </c>
      <c r="C11" s="61" t="n">
        <f aca="false">(C$6*('💼 תוכנית עסקית'!$C$10+'💼 תוכנית עסקית'!$C$13+$B11*'💼 תוכנית עסקית'!$C$16))-'💼 תוכנית עסקית'!$C$9</f>
        <v>150</v>
      </c>
      <c r="D11" s="61" t="n">
        <f aca="false">(D$6*('💼 תוכנית עסקית'!$C$10+'💼 תוכנית עסקית'!$C$13+$B11*'💼 תוכנית עסקית'!$C$16))-'💼 תוכנית עסקית'!$C$9</f>
        <v>500</v>
      </c>
      <c r="E11" s="61" t="n">
        <f aca="false">(E$6*('💼 תוכנית עסקית'!$C$10+'💼 תוכנית עסקית'!$C$13+$B11*'💼 תוכנית עסקית'!$C$16))-'💼 תוכנית עסקית'!$C$9</f>
        <v>850</v>
      </c>
      <c r="F11" s="61" t="n">
        <f aca="false">(F$6*('💼 תוכנית עסקית'!$C$10+'💼 תוכנית עסקית'!$C$13+$B11*'💼 תוכנית עסקית'!$C$16))-'💼 תוכנית עסקית'!$C$9</f>
        <v>1200</v>
      </c>
      <c r="G11" s="61" t="n">
        <f aca="false">(G$6*('💼 תוכנית עסקית'!$C$10+'💼 תוכנית עסקית'!$C$13+$B11*'💼 תוכנית עסקית'!$C$16))-'💼 תוכנית עסקית'!$C$9</f>
        <v>1550</v>
      </c>
      <c r="H11" s="61" t="n">
        <f aca="false">(H$6*('💼 תוכנית עסקית'!$C$10+'💼 תוכנית עסקית'!$C$13+$B11*'💼 תוכנית עסקית'!$C$16))-'💼 תוכנית עסקית'!$C$9</f>
        <v>1900</v>
      </c>
      <c r="I11" s="61" t="n">
        <f aca="false">(I$6*('💼 תוכנית עסקית'!$C$10+'💼 תוכנית עסקית'!$C$13+$B11*'💼 תוכנית עסקית'!$C$16))-'💼 תוכנית עסקית'!$C$9</f>
        <v>2250</v>
      </c>
      <c r="J11" s="61" t="n">
        <f aca="false">(J$6*('💼 תוכנית עסקית'!$C$10+'💼 תוכנית עסקית'!$C$13+$B11*'💼 תוכנית עסקית'!$C$16))-'💼 תוכנית עסקית'!$C$9</f>
        <v>2600</v>
      </c>
      <c r="K11" s="61" t="n">
        <f aca="false">(K$6*('💼 תוכנית עסקית'!$C$10+'💼 תוכנית עסקית'!$C$13+$B11*'💼 תוכנית עסקית'!$C$16))-'💼 תוכנית עסקית'!$C$9</f>
        <v>2950</v>
      </c>
      <c r="L11" s="61" t="n">
        <f aca="false">(L$6*('💼 תוכנית עסקית'!$C$10+'💼 תוכנית עסקית'!$C$13+$B11*'💼 תוכנית עסקית'!$C$16))-'💼 תוכנית עסקית'!$C$9</f>
        <v>3300</v>
      </c>
      <c r="M11" s="10"/>
    </row>
    <row r="12" customFormat="false" ht="27.75" hidden="false" customHeight="true" outlineLevel="0" collapsed="false">
      <c r="A12" s="10"/>
      <c r="B12" s="60" t="n">
        <v>22500</v>
      </c>
      <c r="C12" s="61" t="n">
        <f aca="false">(C$6*('💼 תוכנית עסקית'!$C$10+'💼 תוכנית עסקית'!$C$13+$B12*'💼 תוכנית עסקית'!$C$16))-'💼 תוכנית עסקית'!$C$9</f>
        <v>168.75</v>
      </c>
      <c r="D12" s="61" t="n">
        <f aca="false">(D$6*('💼 תוכנית עסקית'!$C$10+'💼 תוכנית עסקית'!$C$13+$B12*'💼 תוכנית עסקית'!$C$16))-'💼 תוכנית עסקית'!$C$9</f>
        <v>537.5</v>
      </c>
      <c r="E12" s="61" t="n">
        <f aca="false">(E$6*('💼 תוכנית עסקית'!$C$10+'💼 תוכנית עסקית'!$C$13+$B12*'💼 תוכנית עסקית'!$C$16))-'💼 תוכנית עסקית'!$C$9</f>
        <v>906.25</v>
      </c>
      <c r="F12" s="61" t="n">
        <f aca="false">(F$6*('💼 תוכנית עסקית'!$C$10+'💼 תוכנית עסקית'!$C$13+$B12*'💼 תוכנית עסקית'!$C$16))-'💼 תוכנית עסקית'!$C$9</f>
        <v>1275</v>
      </c>
      <c r="G12" s="61" t="n">
        <f aca="false">(G$6*('💼 תוכנית עסקית'!$C$10+'💼 תוכנית עסקית'!$C$13+$B12*'💼 תוכנית עסקית'!$C$16))-'💼 תוכנית עסקית'!$C$9</f>
        <v>1643.75</v>
      </c>
      <c r="H12" s="61" t="n">
        <f aca="false">(H$6*('💼 תוכנית עסקית'!$C$10+'💼 תוכנית עסקית'!$C$13+$B12*'💼 תוכנית עסקית'!$C$16))-'💼 תוכנית עסקית'!$C$9</f>
        <v>2012.5</v>
      </c>
      <c r="I12" s="61" t="n">
        <f aca="false">(I$6*('💼 תוכנית עסקית'!$C$10+'💼 תוכנית עסקית'!$C$13+$B12*'💼 תוכנית עסקית'!$C$16))-'💼 תוכנית עסקית'!$C$9</f>
        <v>2381.25</v>
      </c>
      <c r="J12" s="61" t="n">
        <f aca="false">(J$6*('💼 תוכנית עסקית'!$C$10+'💼 תוכנית עסקית'!$C$13+$B12*'💼 תוכנית עסקית'!$C$16))-'💼 תוכנית עסקית'!$C$9</f>
        <v>2750</v>
      </c>
      <c r="K12" s="61" t="n">
        <f aca="false">(K$6*('💼 תוכנית עסקית'!$C$10+'💼 תוכנית עסקית'!$C$13+$B12*'💼 תוכנית עסקית'!$C$16))-'💼 תוכנית עסקית'!$C$9</f>
        <v>3118.75</v>
      </c>
      <c r="L12" s="61" t="n">
        <f aca="false">(L$6*('💼 תוכנית עסקית'!$C$10+'💼 תוכנית עסקית'!$C$13+$B12*'💼 תוכנית עסקית'!$C$16))-'💼 תוכנית עסקית'!$C$9</f>
        <v>3487.5</v>
      </c>
      <c r="M12" s="10"/>
    </row>
    <row r="13" customFormat="false" ht="27.75" hidden="false" customHeight="true" outlineLevel="0" collapsed="false">
      <c r="A13" s="10"/>
      <c r="B13" s="60" t="n">
        <v>25000</v>
      </c>
      <c r="C13" s="61" t="n">
        <f aca="false">(C$6*('💼 תוכנית עסקית'!$C$10+'💼 תוכנית עסקית'!$C$13+$B13*'💼 תוכנית עסקית'!$C$16))-'💼 תוכנית עסקית'!$C$9</f>
        <v>187.5</v>
      </c>
      <c r="D13" s="61" t="n">
        <f aca="false">(D$6*('💼 תוכנית עסקית'!$C$10+'💼 תוכנית עסקית'!$C$13+$B13*'💼 תוכנית עסקית'!$C$16))-'💼 תוכנית עסקית'!$C$9</f>
        <v>575</v>
      </c>
      <c r="E13" s="61" t="n">
        <f aca="false">(E$6*('💼 תוכנית עסקית'!$C$10+'💼 תוכנית עסקית'!$C$13+$B13*'💼 תוכנית עסקית'!$C$16))-'💼 תוכנית עסקית'!$C$9</f>
        <v>962.5</v>
      </c>
      <c r="F13" s="61" t="n">
        <f aca="false">(F$6*('💼 תוכנית עסקית'!$C$10+'💼 תוכנית עסקית'!$C$13+$B13*'💼 תוכנית עסקית'!$C$16))-'💼 תוכנית עסקית'!$C$9</f>
        <v>1350</v>
      </c>
      <c r="G13" s="61" t="n">
        <f aca="false">(G$6*('💼 תוכנית עסקית'!$C$10+'💼 תוכנית עסקית'!$C$13+$B13*'💼 תוכנית עסקית'!$C$16))-'💼 תוכנית עסקית'!$C$9</f>
        <v>1737.5</v>
      </c>
      <c r="H13" s="61" t="n">
        <f aca="false">(H$6*('💼 תוכנית עסקית'!$C$10+'💼 תוכנית עסקית'!$C$13+$B13*'💼 תוכנית עסקית'!$C$16))-'💼 תוכנית עסקית'!$C$9</f>
        <v>2125</v>
      </c>
      <c r="I13" s="61" t="n">
        <f aca="false">(I$6*('💼 תוכנית עסקית'!$C$10+'💼 תוכנית עסקית'!$C$13+$B13*'💼 תוכנית עסקית'!$C$16))-'💼 תוכנית עסקית'!$C$9</f>
        <v>2512.5</v>
      </c>
      <c r="J13" s="61" t="n">
        <f aca="false">(J$6*('💼 תוכנית עסקית'!$C$10+'💼 תוכנית עסקית'!$C$13+$B13*'💼 תוכנית עסקית'!$C$16))-'💼 תוכנית עסקית'!$C$9</f>
        <v>2900</v>
      </c>
      <c r="K13" s="61" t="n">
        <f aca="false">(K$6*('💼 תוכנית עסקית'!$C$10+'💼 תוכנית עסקית'!$C$13+$B13*'💼 תוכנית עסקית'!$C$16))-'💼 תוכנית עסקית'!$C$9</f>
        <v>3287.5</v>
      </c>
      <c r="L13" s="61" t="n">
        <f aca="false">(L$6*('💼 תוכנית עסקית'!$C$10+'💼 תוכנית עסקית'!$C$13+$B13*'💼 תוכנית עסקית'!$C$16))-'💼 תוכנית עסקית'!$C$9</f>
        <v>3675</v>
      </c>
      <c r="M13" s="10"/>
    </row>
    <row r="14" customFormat="false" ht="27.75" hidden="false" customHeight="true" outlineLevel="0" collapsed="false">
      <c r="A14" s="10"/>
      <c r="B14" s="60" t="n">
        <v>30000</v>
      </c>
      <c r="C14" s="61" t="n">
        <f aca="false">(C$6*('💼 תוכנית עסקית'!$C$10+'💼 תוכנית עסקית'!$C$13+$B14*'💼 תוכנית עסקית'!$C$16))-'💼 תוכנית עסקית'!$C$9</f>
        <v>225</v>
      </c>
      <c r="D14" s="61" t="n">
        <f aca="false">(D$6*('💼 תוכנית עסקית'!$C$10+'💼 תוכנית עסקית'!$C$13+$B14*'💼 תוכנית עסקית'!$C$16))-'💼 תוכנית עסקית'!$C$9</f>
        <v>650</v>
      </c>
      <c r="E14" s="61" t="n">
        <f aca="false">(E$6*('💼 תוכנית עסקית'!$C$10+'💼 תוכנית עסקית'!$C$13+$B14*'💼 תוכנית עסקית'!$C$16))-'💼 תוכנית עסקית'!$C$9</f>
        <v>1075</v>
      </c>
      <c r="F14" s="61" t="n">
        <f aca="false">(F$6*('💼 תוכנית עסקית'!$C$10+'💼 תוכנית עסקית'!$C$13+$B14*'💼 תוכנית עסקית'!$C$16))-'💼 תוכנית עסקית'!$C$9</f>
        <v>1500</v>
      </c>
      <c r="G14" s="61" t="n">
        <f aca="false">(G$6*('💼 תוכנית עסקית'!$C$10+'💼 תוכנית עסקית'!$C$13+$B14*'💼 תוכנית עסקית'!$C$16))-'💼 תוכנית עסקית'!$C$9</f>
        <v>1925</v>
      </c>
      <c r="H14" s="61" t="n">
        <f aca="false">(H$6*('💼 תוכנית עסקית'!$C$10+'💼 תוכנית עסקית'!$C$13+$B14*'💼 תוכנית עסקית'!$C$16))-'💼 תוכנית עסקית'!$C$9</f>
        <v>2350</v>
      </c>
      <c r="I14" s="61" t="n">
        <f aca="false">(I$6*('💼 תוכנית עסקית'!$C$10+'💼 תוכנית עסקית'!$C$13+$B14*'💼 תוכנית עסקית'!$C$16))-'💼 תוכנית עסקית'!$C$9</f>
        <v>2775</v>
      </c>
      <c r="J14" s="61" t="n">
        <f aca="false">(J$6*('💼 תוכנית עסקית'!$C$10+'💼 תוכנית עסקית'!$C$13+$B14*'💼 תוכנית עסקית'!$C$16))-'💼 תוכנית עסקית'!$C$9</f>
        <v>3200</v>
      </c>
      <c r="K14" s="61" t="n">
        <f aca="false">(K$6*('💼 תוכנית עסקית'!$C$10+'💼 תוכנית עסקית'!$C$13+$B14*'💼 תוכנית עסקית'!$C$16))-'💼 תוכנית עסקית'!$C$9</f>
        <v>3625</v>
      </c>
      <c r="L14" s="61" t="n">
        <f aca="false">(L$6*('💼 תוכנית עסקית'!$C$10+'💼 תוכנית עסקית'!$C$13+$B14*'💼 תוכנית עסקית'!$C$16))-'💼 תוכנית עסקית'!$C$9</f>
        <v>4050</v>
      </c>
      <c r="M14" s="10"/>
    </row>
    <row r="15" customFormat="false" ht="27.75" hidden="false" customHeight="true" outlineLevel="0" collapsed="false">
      <c r="A15" s="10"/>
      <c r="B15" s="60" t="n">
        <v>35000</v>
      </c>
      <c r="C15" s="1" t="n">
        <f aca="false">(C$6*('💼 תוכנית עסקית'!$C$10+'💼 תוכנית עסקית'!$C$13+$B15*'💼 תוכנית עסקית'!$C$16))-'💼 תוכנית עסקית'!$C$9</f>
        <v>262.5</v>
      </c>
      <c r="D15" s="1" t="n">
        <f aca="false">(D$6*('💼 תוכנית עסקית'!$C$10+'💼 תוכנית עסקית'!$C$13+$B15*'💼 תוכנית עסקית'!$C$16))-'💼 תוכנית עסקית'!$C$9</f>
        <v>725</v>
      </c>
      <c r="E15" s="1" t="n">
        <f aca="false">(E$6*('💼 תוכנית עסקית'!$C$10+'💼 תוכנית עסקית'!$C$13+$B15*'💼 תוכנית עסקית'!$C$16))-'💼 תוכנית עסקית'!$C$9</f>
        <v>1187.5</v>
      </c>
      <c r="F15" s="1" t="n">
        <f aca="false">(F$6*('💼 תוכנית עסקית'!$C$10+'💼 תוכנית עסקית'!$C$13+$B15*'💼 תוכנית עסקית'!$C$16))-'💼 תוכנית עסקית'!$C$9</f>
        <v>1650</v>
      </c>
      <c r="G15" s="1" t="n">
        <f aca="false">(G$6*('💼 תוכנית עסקית'!$C$10+'💼 תוכנית עסקית'!$C$13+$B15*'💼 תוכנית עסקית'!$C$16))-'💼 תוכנית עסקית'!$C$9</f>
        <v>2112.5</v>
      </c>
      <c r="H15" s="1" t="n">
        <f aca="false">(H$6*('💼 תוכנית עסקית'!$C$10+'💼 תוכנית עסקית'!$C$13+$B15*'💼 תוכנית עסקית'!$C$16))-'💼 תוכנית עסקית'!$C$9</f>
        <v>2575</v>
      </c>
      <c r="I15" s="1" t="n">
        <f aca="false">(I$6*('💼 תוכנית עסקית'!$C$10+'💼 תוכנית עסקית'!$C$13+$B15*'💼 תוכנית עסקית'!$C$16))-'💼 תוכנית עסקית'!$C$9</f>
        <v>3037.5</v>
      </c>
      <c r="J15" s="1" t="n">
        <f aca="false">(J$6*('💼 תוכנית עסקית'!$C$10+'💼 תוכנית עסקית'!$C$13+$B15*'💼 תוכנית עסקית'!$C$16))-'💼 תוכנית עסקית'!$C$9</f>
        <v>3500</v>
      </c>
      <c r="K15" s="1" t="n">
        <f aca="false">(K$6*('💼 תוכנית עסקית'!$C$10+'💼 תוכנית עסקית'!$C$13+$B15*'💼 תוכנית עסקית'!$C$16))-'💼 תוכנית עסקית'!$C$9</f>
        <v>3962.5</v>
      </c>
      <c r="L15" s="1" t="n">
        <f aca="false">(L$6*('💼 תוכנית עסקית'!$C$10+'💼 תוכנית עסקית'!$C$13+$B15*'💼 תוכנית עסקית'!$C$16))-'💼 תוכנית עסקית'!$C$9</f>
        <v>4425</v>
      </c>
      <c r="M15" s="10"/>
    </row>
    <row r="16" customFormat="false" ht="27.7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27.7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27.7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27.75" hidden="false" customHeight="true" outlineLevel="0" collapsed="false">
      <c r="A19" s="10"/>
      <c r="B19" s="43" t="s">
        <v>1038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27.75" hidden="false" customHeight="true" outlineLevel="0" collapsed="false">
      <c r="A20" s="10"/>
      <c r="B20" s="44" t="s">
        <v>1039</v>
      </c>
      <c r="C20" s="44" t="s">
        <v>1040</v>
      </c>
      <c r="D20" s="44" t="s">
        <v>1041</v>
      </c>
      <c r="E20" s="44" t="s">
        <v>1042</v>
      </c>
      <c r="F20" s="44" t="s">
        <v>1043</v>
      </c>
      <c r="G20" s="44" t="s">
        <v>1044</v>
      </c>
      <c r="H20" s="44" t="s">
        <v>1045</v>
      </c>
      <c r="I20" s="44" t="s">
        <v>1046</v>
      </c>
      <c r="J20" s="10"/>
      <c r="K20" s="10"/>
      <c r="L20" s="10"/>
      <c r="M20" s="10"/>
    </row>
    <row r="21" customFormat="false" ht="27.75" hidden="false" customHeight="true" outlineLevel="0" collapsed="false">
      <c r="A21" s="10"/>
      <c r="B21" s="62" t="s">
        <v>1047</v>
      </c>
      <c r="C21" s="1" t="n">
        <v>5</v>
      </c>
      <c r="D21" s="1" t="n">
        <v>20</v>
      </c>
      <c r="E21" s="1" t="n">
        <v>60</v>
      </c>
      <c r="F21" s="1" t="n">
        <v>120</v>
      </c>
      <c r="G21" s="1" t="n">
        <v>200</v>
      </c>
      <c r="H21" s="1" t="n">
        <v>300</v>
      </c>
      <c r="I21" s="1" t="n">
        <v>450</v>
      </c>
      <c r="M21" s="10"/>
    </row>
    <row r="22" customFormat="false" ht="27.75" hidden="false" customHeight="true" outlineLevel="0" collapsed="false">
      <c r="A22" s="10"/>
      <c r="B22" s="63" t="s">
        <v>1048</v>
      </c>
      <c r="C22" s="64" t="n">
        <f aca="false">C21/2</f>
        <v>2.5</v>
      </c>
      <c r="D22" s="64" t="n">
        <f aca="false">AVERAGE(C21,D21)</f>
        <v>12.5</v>
      </c>
      <c r="E22" s="64" t="n">
        <f aca="false">AVERAGE(D21,E21)</f>
        <v>40</v>
      </c>
      <c r="F22" s="64" t="n">
        <f aca="false">AVERAGE(E21,F21)</f>
        <v>90</v>
      </c>
      <c r="G22" s="64" t="n">
        <f aca="false">AVERAGE(F21,G21)</f>
        <v>160</v>
      </c>
      <c r="H22" s="64" t="n">
        <f aca="false">AVERAGE(G21,H21)</f>
        <v>250</v>
      </c>
      <c r="I22" s="64" t="n">
        <f aca="false">AVERAGE(H21,I21)</f>
        <v>375</v>
      </c>
      <c r="J22" s="10"/>
      <c r="K22" s="10"/>
      <c r="L22" s="10"/>
      <c r="M22" s="10"/>
    </row>
    <row r="23" customFormat="false" ht="27.75" hidden="false" customHeight="true" outlineLevel="0" collapsed="false">
      <c r="A23" s="10"/>
      <c r="B23" s="63" t="s">
        <v>1049</v>
      </c>
      <c r="C23" s="64" t="n">
        <v>2</v>
      </c>
      <c r="D23" s="64" t="n">
        <v>3</v>
      </c>
      <c r="E23" s="64" t="n">
        <v>4</v>
      </c>
      <c r="F23" s="64" t="n">
        <v>5</v>
      </c>
      <c r="G23" s="64" t="n">
        <v>5</v>
      </c>
      <c r="H23" s="64" t="n">
        <v>5</v>
      </c>
      <c r="I23" s="64" t="n">
        <v>5</v>
      </c>
      <c r="J23" s="10"/>
      <c r="K23" s="10"/>
      <c r="L23" s="10"/>
      <c r="M23" s="10"/>
    </row>
    <row r="24" customFormat="false" ht="27.75" hidden="false" customHeight="true" outlineLevel="0" collapsed="false">
      <c r="A24" s="10"/>
      <c r="B24" s="63" t="s">
        <v>1050</v>
      </c>
      <c r="C24" s="60" t="n">
        <f aca="false">'💼 תוכנית עסקית'!$C$27</f>
        <v>22500</v>
      </c>
      <c r="D24" s="60" t="n">
        <f aca="false">'💼 תוכנית עסקית'!$C$27</f>
        <v>22500</v>
      </c>
      <c r="E24" s="60" t="n">
        <f aca="false">'💼 תוכנית עסקית'!$C$27</f>
        <v>22500</v>
      </c>
      <c r="F24" s="60" t="n">
        <f aca="false">'💼 תוכנית עסקית'!$C$27</f>
        <v>22500</v>
      </c>
      <c r="G24" s="60" t="n">
        <f aca="false">'💼 תוכנית עסקית'!$C$27</f>
        <v>22500</v>
      </c>
      <c r="H24" s="60" t="n">
        <f aca="false">'💼 תוכנית עסקית'!$C$27</f>
        <v>22500</v>
      </c>
      <c r="I24" s="60" t="n">
        <f aca="false">'💼 תוכנית עסקית'!$C$27</f>
        <v>22500</v>
      </c>
      <c r="J24" s="10"/>
      <c r="K24" s="10"/>
      <c r="L24" s="10"/>
      <c r="M24" s="10"/>
    </row>
    <row r="25" customFormat="false" ht="27.75" hidden="false" customHeight="true" outlineLevel="0" collapsed="false">
      <c r="A25" s="10"/>
      <c r="B25" s="63" t="s">
        <v>1051</v>
      </c>
      <c r="C25" s="60" t="n">
        <f aca="false">C22*C23*12*('💼 תוכנית עסקית'!$C$10+'💼 תוכנית עסקית'!$C$13+C24*'💼 תוכנית עסקית'!$C$16)</f>
        <v>22125</v>
      </c>
      <c r="D25" s="60" t="n">
        <f aca="false">D22*D23*12*('💼 תוכנית עסקית'!$C$10+'💼 תוכנית עסקית'!$C$13+D24*'💼 תוכנית עסקית'!$C$16)</f>
        <v>165937.5</v>
      </c>
      <c r="E25" s="60" t="n">
        <f aca="false">E22*E23*12*('💼 תוכנית עסקית'!$C$10+'💼 תוכנית עסקית'!$C$13+E24*'💼 תוכנית עסקית'!$C$16)</f>
        <v>708000</v>
      </c>
      <c r="F25" s="60" t="n">
        <f aca="false">F22*F23*12*('💼 תוכנית עסקית'!$C$10+'💼 תוכנית עסקית'!$C$13+F24*'💼 תוכנית עסקית'!$C$16)</f>
        <v>1991250</v>
      </c>
      <c r="G25" s="60" t="n">
        <f aca="false">G22*G23*12*('💼 תוכנית עסקית'!$C$10+'💼 תוכנית עסקית'!$C$13+G24*'💼 תוכנית עסקית'!$C$16)</f>
        <v>3540000</v>
      </c>
      <c r="H25" s="60" t="n">
        <f aca="false">H22*H23*12*('💼 תוכנית עסקית'!$C$10+'💼 תוכנית עסקית'!$C$13+H24*'💼 תוכנית עסקית'!$C$16)</f>
        <v>5531250</v>
      </c>
      <c r="I25" s="60" t="n">
        <f aca="false">I22*I23*12*('💼 תוכנית עסקית'!$C$10+'💼 תוכנית עסקית'!$C$13+I24*'💼 תוכנית עסקית'!$C$16)</f>
        <v>8296875</v>
      </c>
      <c r="J25" s="10"/>
      <c r="K25" s="10"/>
      <c r="L25" s="10"/>
      <c r="M25" s="10"/>
    </row>
    <row r="26" customFormat="false" ht="27.75" hidden="false" customHeight="true" outlineLevel="0" collapsed="false">
      <c r="A26" s="10"/>
      <c r="B26" s="63" t="s">
        <v>1052</v>
      </c>
      <c r="C26" s="60" t="n">
        <f aca="false">C22*'💼 תוכנית עסקית'!$C$9*12</f>
        <v>6000</v>
      </c>
      <c r="D26" s="60" t="n">
        <f aca="false">D22*'💼 תוכנית עסקית'!$C$9*12</f>
        <v>30000</v>
      </c>
      <c r="E26" s="60" t="n">
        <f aca="false">E22*'💼 תוכנית עסקית'!$C$9*12</f>
        <v>96000</v>
      </c>
      <c r="F26" s="60" t="n">
        <f aca="false">F22*'💼 תוכנית עסקית'!$C$9*12</f>
        <v>216000</v>
      </c>
      <c r="G26" s="60" t="n">
        <f aca="false">G22*'💼 תוכנית עסקית'!$C$9*12</f>
        <v>384000</v>
      </c>
      <c r="H26" s="60" t="n">
        <f aca="false">H22*'💼 תוכנית עסקית'!$C$9*12</f>
        <v>600000</v>
      </c>
      <c r="I26" s="60" t="n">
        <f aca="false">I22*'💼 תוכנית עסקית'!$C$9*12</f>
        <v>900000</v>
      </c>
      <c r="J26" s="10"/>
      <c r="K26" s="10"/>
      <c r="L26" s="10"/>
      <c r="M26" s="10"/>
    </row>
    <row r="27" customFormat="false" ht="27.75" hidden="false" customHeight="true" outlineLevel="0" collapsed="false">
      <c r="A27" s="10"/>
      <c r="B27" s="63" t="s">
        <v>1053</v>
      </c>
      <c r="C27" s="60" t="n">
        <f aca="false">SUM(C25:C26)</f>
        <v>28125</v>
      </c>
      <c r="D27" s="60" t="n">
        <f aca="false">SUM(D25:D26)</f>
        <v>195937.5</v>
      </c>
      <c r="E27" s="60" t="n">
        <f aca="false">SUM(E25:E26)</f>
        <v>804000</v>
      </c>
      <c r="F27" s="60" t="n">
        <f aca="false">SUM(F25:F26)</f>
        <v>2207250</v>
      </c>
      <c r="G27" s="60" t="n">
        <f aca="false">SUM(G25:G26)</f>
        <v>3924000</v>
      </c>
      <c r="H27" s="60" t="n">
        <f aca="false">SUM(H25:H26)</f>
        <v>6131250</v>
      </c>
      <c r="I27" s="60" t="n">
        <f aca="false">SUM(I25:I26)</f>
        <v>9196875</v>
      </c>
      <c r="J27" s="10"/>
      <c r="K27" s="10"/>
      <c r="L27" s="10"/>
      <c r="M27" s="10"/>
    </row>
    <row r="28" customFormat="false" ht="27.75" hidden="false" customHeight="true" outlineLevel="0" collapsed="false">
      <c r="A28" s="10"/>
      <c r="B28" s="63" t="s">
        <v>1054</v>
      </c>
      <c r="C28" s="60" t="n">
        <f aca="false">C22*'💼 תוכנית עסקית'!$C$9*12</f>
        <v>6000</v>
      </c>
      <c r="D28" s="60" t="n">
        <f aca="false">D22*'💼 תוכנית עסקית'!$C$9*12</f>
        <v>30000</v>
      </c>
      <c r="E28" s="60" t="n">
        <f aca="false">E22*'💼 תוכנית עסקית'!$C$9*12</f>
        <v>96000</v>
      </c>
      <c r="F28" s="60" t="n">
        <f aca="false">F22*'💼 תוכנית עסקית'!$C$9*12</f>
        <v>216000</v>
      </c>
      <c r="G28" s="60" t="n">
        <f aca="false">G22*'💼 תוכנית עסקית'!$C$9*12</f>
        <v>384000</v>
      </c>
      <c r="H28" s="60" t="n">
        <f aca="false">H22*'💼 תוכנית עסקית'!$C$9*12</f>
        <v>600000</v>
      </c>
      <c r="I28" s="60" t="n">
        <f aca="false">I22*'💼 תוכנית עסקית'!$C$9*12</f>
        <v>900000</v>
      </c>
      <c r="J28" s="10"/>
      <c r="K28" s="10"/>
      <c r="L28" s="10"/>
      <c r="M28" s="10"/>
    </row>
    <row r="29" customFormat="false" ht="27.75" hidden="false" customHeight="true" outlineLevel="0" collapsed="false">
      <c r="A29" s="10"/>
      <c r="B29" s="63" t="s">
        <v>1055</v>
      </c>
      <c r="C29" s="60" t="n">
        <f aca="false">'💼 תוכנית עסקית'!$C$20*12</f>
        <v>294000</v>
      </c>
      <c r="D29" s="60" t="n">
        <f aca="false">'💼 תוכנית עסקית'!$C$20*12</f>
        <v>294000</v>
      </c>
      <c r="E29" s="60" t="n">
        <f aca="false">'💼 תוכנית עסקית'!$C$20*12</f>
        <v>294000</v>
      </c>
      <c r="F29" s="60" t="n">
        <f aca="false">'💼 תוכנית עסקית'!$C$20*12</f>
        <v>294000</v>
      </c>
      <c r="G29" s="60" t="n">
        <f aca="false">'💼 תוכנית עסקית'!$C$20*12</f>
        <v>294000</v>
      </c>
      <c r="H29" s="60" t="n">
        <f aca="false">'💼 תוכנית עסקית'!$C$20*12</f>
        <v>294000</v>
      </c>
      <c r="I29" s="60" t="n">
        <f aca="false">'💼 תוכנית עסקית'!$C$20*12</f>
        <v>294000</v>
      </c>
      <c r="J29" s="10"/>
      <c r="K29" s="10"/>
      <c r="L29" s="10"/>
      <c r="M29" s="10"/>
    </row>
    <row r="30" customFormat="false" ht="27.75" hidden="false" customHeight="true" outlineLevel="0" collapsed="false">
      <c r="A30" s="10"/>
      <c r="B30" s="63" t="s">
        <v>1056</v>
      </c>
      <c r="C30" s="60" t="n">
        <v>50000</v>
      </c>
      <c r="D30" s="60" t="n">
        <v>50000</v>
      </c>
      <c r="E30" s="60" t="n">
        <v>50000</v>
      </c>
      <c r="F30" s="60" t="n">
        <v>75000</v>
      </c>
      <c r="G30" s="60" t="n">
        <v>75000</v>
      </c>
      <c r="H30" s="60" t="n">
        <v>100000</v>
      </c>
      <c r="I30" s="60" t="n">
        <v>100000</v>
      </c>
      <c r="J30" s="10"/>
      <c r="K30" s="10"/>
      <c r="L30" s="10"/>
      <c r="M30" s="10"/>
    </row>
    <row r="31" customFormat="false" ht="27.75" hidden="false" customHeight="true" outlineLevel="0" collapsed="false">
      <c r="A31" s="10"/>
      <c r="B31" s="63" t="s">
        <v>1057</v>
      </c>
      <c r="C31" s="1" t="n">
        <f aca="false">5*'💼 תוכנית עסקית'!$C$8</f>
        <v>17500</v>
      </c>
      <c r="D31" s="65" t="n">
        <f aca="false">15*'💼 תוכנית עסקית'!$C$8</f>
        <v>52500</v>
      </c>
      <c r="E31" s="1" t="n">
        <f aca="false">40*'💼 תוכנית עסקית'!$C$8</f>
        <v>140000</v>
      </c>
      <c r="F31" s="1" t="n">
        <f aca="false">60*'💼 תוכנית עסקית'!$C$8</f>
        <v>210000</v>
      </c>
      <c r="G31" s="1" t="n">
        <f aca="false">80*'💼 תוכנית עסקית'!$C$8</f>
        <v>280000</v>
      </c>
      <c r="H31" s="1" t="n">
        <f aca="false">100*'💼 תוכנית עסקית'!$C$8</f>
        <v>350000</v>
      </c>
      <c r="I31" s="1" t="n">
        <f aca="false">150*'💼 תוכנית עסקית'!$C$8</f>
        <v>525000</v>
      </c>
      <c r="M31" s="10"/>
    </row>
    <row r="32" customFormat="false" ht="27.75" hidden="false" customHeight="true" outlineLevel="0" collapsed="false">
      <c r="A32" s="10"/>
      <c r="B32" s="63" t="s">
        <v>1058</v>
      </c>
      <c r="C32" s="60" t="n">
        <f aca="false">C27-C28-C29-C30-C31</f>
        <v>-339375</v>
      </c>
      <c r="D32" s="60" t="n">
        <f aca="false">D27-D28-D29-D30-D31</f>
        <v>-230562.5</v>
      </c>
      <c r="E32" s="60" t="n">
        <f aca="false">E27-E28-E29-E30-E31</f>
        <v>224000</v>
      </c>
      <c r="F32" s="60" t="n">
        <f aca="false">F27-F28-F29-F30-F31</f>
        <v>1412250</v>
      </c>
      <c r="G32" s="60" t="n">
        <f aca="false">G27-G28-G29-G30-G31</f>
        <v>2891000</v>
      </c>
      <c r="H32" s="60" t="n">
        <f aca="false">H27-H28-H29-H30-H31</f>
        <v>4787250</v>
      </c>
      <c r="I32" s="60" t="n">
        <f aca="false">I27-I28-I29-I30-I31</f>
        <v>7377875</v>
      </c>
      <c r="J32" s="10"/>
      <c r="K32" s="10"/>
      <c r="L32" s="10"/>
      <c r="M32" s="10"/>
    </row>
    <row r="33" customFormat="false" ht="27.75" hidden="false" customHeight="true" outlineLevel="0" collapsed="false">
      <c r="A33" s="10"/>
      <c r="B33" s="63" t="s">
        <v>1059</v>
      </c>
      <c r="C33" s="60" t="n">
        <f aca="false">C32*0.77</f>
        <v>-261318.75</v>
      </c>
      <c r="D33" s="60" t="n">
        <f aca="false">D32*0.77</f>
        <v>-177533.125</v>
      </c>
      <c r="E33" s="60" t="n">
        <f aca="false">E32*0.77</f>
        <v>172480</v>
      </c>
      <c r="F33" s="60" t="n">
        <f aca="false">F32*0.77</f>
        <v>1087432.5</v>
      </c>
      <c r="G33" s="60" t="n">
        <f aca="false">G32*0.77</f>
        <v>2226070</v>
      </c>
      <c r="H33" s="60" t="n">
        <f aca="false">H32*0.77</f>
        <v>3686182.5</v>
      </c>
      <c r="I33" s="60" t="n">
        <f aca="false">I32*0.77</f>
        <v>5680963.75</v>
      </c>
      <c r="J33" s="10"/>
      <c r="K33" s="10"/>
      <c r="L33" s="10"/>
      <c r="M33" s="10"/>
    </row>
  </sheetData>
  <conditionalFormatting sqref="C7:L15">
    <cfRule type="colorScale" priority="2">
      <colorScale>
        <cfvo type="num" val="-500"/>
        <cfvo type="num" val="0"/>
        <cfvo type="num" val="400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20"/>
    <col collapsed="false" customWidth="true" hidden="false" outlineLevel="0" max="13" min="5" style="1" width="10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37.5" hidden="false" customHeight="true" outlineLevel="0" collapsed="false">
      <c r="A2" s="10"/>
      <c r="B2" s="18" t="s">
        <v>1060</v>
      </c>
    </row>
    <row r="3" customFormat="false" ht="27.75" hidden="false" customHeight="true" outlineLevel="0" collapsed="false">
      <c r="A3" s="10"/>
      <c r="B3" s="42" t="s">
        <v>1061</v>
      </c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27.75" hidden="false" customHeight="true" outlineLevel="0" collapsed="false">
      <c r="A5" s="10"/>
      <c r="B5" s="20" t="s">
        <v>833</v>
      </c>
      <c r="C5" s="20" t="s">
        <v>1000</v>
      </c>
      <c r="D5" s="20" t="s">
        <v>835</v>
      </c>
      <c r="E5" s="10"/>
      <c r="F5" s="10"/>
      <c r="G5" s="10"/>
      <c r="H5" s="10"/>
      <c r="I5" s="10"/>
      <c r="J5" s="10"/>
      <c r="K5" s="10"/>
      <c r="L5" s="10"/>
      <c r="M5" s="10"/>
    </row>
    <row r="6" customFormat="false" ht="27.75" hidden="false" customHeight="true" outlineLevel="0" collapsed="false">
      <c r="A6" s="10"/>
      <c r="B6" s="21" t="s">
        <v>1019</v>
      </c>
      <c r="C6" s="21" t="s">
        <v>1062</v>
      </c>
      <c r="D6" s="53" t="n">
        <f aca="false">'💼 תוכנית עסקית'!C29</f>
        <v>368.75</v>
      </c>
      <c r="E6" s="10"/>
      <c r="F6" s="10"/>
      <c r="G6" s="10"/>
      <c r="H6" s="10"/>
      <c r="I6" s="10"/>
      <c r="J6" s="10"/>
      <c r="K6" s="10"/>
      <c r="L6" s="10"/>
      <c r="M6" s="10"/>
    </row>
    <row r="7" customFormat="false" ht="27.75" hidden="false" customHeight="true" outlineLevel="0" collapsed="false">
      <c r="A7" s="10"/>
      <c r="B7" s="21" t="s">
        <v>1020</v>
      </c>
      <c r="C7" s="21" t="s">
        <v>1063</v>
      </c>
      <c r="D7" s="53" t="n">
        <f aca="false">'💼 תוכנית עסקית'!C30</f>
        <v>1643.75</v>
      </c>
      <c r="E7" s="10"/>
      <c r="F7" s="10"/>
      <c r="G7" s="10"/>
      <c r="H7" s="10"/>
      <c r="I7" s="10"/>
      <c r="J7" s="10"/>
      <c r="K7" s="10"/>
      <c r="L7" s="10"/>
      <c r="M7" s="10"/>
    </row>
    <row r="8" customFormat="false" ht="27.75" hidden="false" customHeight="true" outlineLevel="0" collapsed="false">
      <c r="A8" s="10"/>
      <c r="B8" s="21" t="s">
        <v>1064</v>
      </c>
      <c r="C8" s="21" t="s">
        <v>1065</v>
      </c>
      <c r="D8" s="66" t="n">
        <f aca="false">'💼 תוכנית עסקית'!C8/'💼 תוכנית עסקית'!C30</f>
        <v>2.12927756653992</v>
      </c>
      <c r="E8" s="10"/>
      <c r="F8" s="10"/>
      <c r="G8" s="10"/>
      <c r="H8" s="10"/>
      <c r="I8" s="10"/>
      <c r="J8" s="10"/>
      <c r="K8" s="10"/>
      <c r="L8" s="10"/>
      <c r="M8" s="10"/>
    </row>
    <row r="9" customFormat="false" ht="27.75" hidden="false" customHeight="true" outlineLevel="0" collapsed="false">
      <c r="A9" s="10"/>
      <c r="B9" s="21" t="s">
        <v>1021</v>
      </c>
      <c r="C9" s="21" t="s">
        <v>1066</v>
      </c>
      <c r="D9" s="66" t="n">
        <f aca="false">'💼 תוכנית עסקית'!C31</f>
        <v>15</v>
      </c>
      <c r="E9" s="10"/>
      <c r="F9" s="10"/>
      <c r="G9" s="10"/>
      <c r="H9" s="10"/>
      <c r="I9" s="10"/>
      <c r="J9" s="10"/>
      <c r="K9" s="10"/>
      <c r="L9" s="10"/>
      <c r="M9" s="10"/>
    </row>
    <row r="10" customFormat="false" ht="27.75" hidden="false" customHeight="true" outlineLevel="0" collapsed="false">
      <c r="A10" s="10"/>
      <c r="B10" s="21" t="s">
        <v>1007</v>
      </c>
      <c r="C10" s="21" t="s">
        <v>1067</v>
      </c>
      <c r="D10" s="55" t="n">
        <f aca="false">'💼 תוכנית עסקית'!C19</f>
        <v>0.375</v>
      </c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27.7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Format="false" ht="27.7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27.75" hidden="false" customHeight="true" outlineLevel="0" collapsed="false">
      <c r="A13" s="10"/>
      <c r="B13" s="43" t="s">
        <v>1068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27.75" hidden="false" customHeight="true" outlineLevel="0" collapsed="false">
      <c r="A14" s="10"/>
      <c r="B14" s="44" t="s">
        <v>1069</v>
      </c>
      <c r="C14" s="67" t="n">
        <v>1</v>
      </c>
      <c r="D14" s="67" t="n">
        <v>2</v>
      </c>
      <c r="E14" s="67" t="n">
        <v>3</v>
      </c>
      <c r="F14" s="67" t="n">
        <v>4</v>
      </c>
      <c r="G14" s="67" t="n">
        <v>5</v>
      </c>
      <c r="H14" s="67" t="n">
        <v>6</v>
      </c>
      <c r="I14" s="67" t="n">
        <v>7</v>
      </c>
      <c r="J14" s="67" t="n">
        <v>8</v>
      </c>
      <c r="K14" s="67" t="n">
        <v>9</v>
      </c>
      <c r="L14" s="67" t="n">
        <v>10</v>
      </c>
      <c r="M14" s="10"/>
    </row>
    <row r="15" customFormat="false" ht="27.75" hidden="false" customHeight="true" outlineLevel="0" collapsed="false">
      <c r="A15" s="10"/>
      <c r="B15" s="60" t="n">
        <v>10000</v>
      </c>
      <c r="C15" s="60" t="n">
        <f aca="false">(C$14*('💼 תוכנית עסקית'!$C$10+'💼 תוכנית עסקית'!$C$13+$B15*'💼 תוכנית עסקית'!$C$16))-'💼 תוכנית עסקית'!$C$9</f>
        <v>75</v>
      </c>
      <c r="D15" s="60" t="n">
        <f aca="false">(D$14*('💼 תוכנית עסקית'!$C$10+'💼 תוכנית עסקית'!$C$13+$B15*'💼 תוכנית עסקית'!$C$16))-'💼 תוכנית עסקית'!$C$9</f>
        <v>350</v>
      </c>
      <c r="E15" s="60" t="n">
        <f aca="false">(E$14*('💼 תוכנית עסקית'!$C$10+'💼 תוכנית עסקית'!$C$13+$B15*'💼 תוכנית עסקית'!$C$16))-'💼 תוכנית עסקית'!$C$9</f>
        <v>625</v>
      </c>
      <c r="F15" s="60" t="n">
        <f aca="false">(F$14*('💼 תוכנית עסקית'!$C$10+'💼 תוכנית עסקית'!$C$13+$B15*'💼 תוכנית עסקית'!$C$16))-'💼 תוכנית עסקית'!$C$9</f>
        <v>900</v>
      </c>
      <c r="G15" s="60" t="n">
        <f aca="false">(G$14*('💼 תוכנית עסקית'!$C$10+'💼 תוכנית עסקית'!$C$13+$B15*'💼 תוכנית עסקית'!$C$16))-'💼 תוכנית עסקית'!$C$9</f>
        <v>1175</v>
      </c>
      <c r="H15" s="60" t="n">
        <f aca="false">(H$14*('💼 תוכנית עסקית'!$C$10+'💼 תוכנית עסקית'!$C$13+$B15*'💼 תוכנית עסקית'!$C$16))-'💼 תוכנית עסקית'!$C$9</f>
        <v>1450</v>
      </c>
      <c r="I15" s="60" t="n">
        <f aca="false">(I$14*('💼 תוכנית עסקית'!$C$10+'💼 תוכנית עסקית'!$C$13+$B15*'💼 תוכנית עסקית'!$C$16))-'💼 תוכנית עסקית'!$C$9</f>
        <v>1725</v>
      </c>
      <c r="J15" s="60" t="n">
        <f aca="false">(J$14*('💼 תוכנית עסקית'!$C$10+'💼 תוכנית עסקית'!$C$13+$B15*'💼 תוכנית עסקית'!$C$16))-'💼 תוכנית עסקית'!$C$9</f>
        <v>2000</v>
      </c>
      <c r="K15" s="60" t="n">
        <f aca="false">(K$14*('💼 תוכנית עסקית'!$C$10+'💼 תוכנית עסקית'!$C$13+$B15*'💼 תוכנית עסקית'!$C$16))-'💼 תוכנית עסקית'!$C$9</f>
        <v>2275</v>
      </c>
      <c r="L15" s="60" t="n">
        <f aca="false">(L$14*('💼 תוכנית עסקית'!$C$10+'💼 תוכנית עסקית'!$C$13+$B15*'💼 תוכנית עסקית'!$C$16))-'💼 תוכנית עסקית'!$C$9</f>
        <v>2550</v>
      </c>
      <c r="M15" s="10"/>
    </row>
    <row r="16" customFormat="false" ht="27.75" hidden="false" customHeight="true" outlineLevel="0" collapsed="false">
      <c r="A16" s="10"/>
      <c r="B16" s="60" t="n">
        <v>12500</v>
      </c>
      <c r="C16" s="60" t="n">
        <f aca="false">(C$14*('💼 תוכנית עסקית'!$C$10+'💼 תוכנית עסקית'!$C$13+$B16*'💼 תוכנית עסקית'!$C$16))-'💼 תוכנית עסקית'!$C$9</f>
        <v>93.75</v>
      </c>
      <c r="D16" s="60" t="n">
        <f aca="false">(D$14*('💼 תוכנית עסקית'!$C$10+'💼 תוכנית עסקית'!$C$13+$B16*'💼 תוכנית עסקית'!$C$16))-'💼 תוכנית עסקית'!$C$9</f>
        <v>387.5</v>
      </c>
      <c r="E16" s="60" t="n">
        <f aca="false">(E$14*('💼 תוכנית עסקית'!$C$10+'💼 תוכנית עסקית'!$C$13+$B16*'💼 תוכנית עסקית'!$C$16))-'💼 תוכנית עסקית'!$C$9</f>
        <v>681.25</v>
      </c>
      <c r="F16" s="60" t="n">
        <f aca="false">(F$14*('💼 תוכנית עסקית'!$C$10+'💼 תוכנית עסקית'!$C$13+$B16*'💼 תוכנית עסקית'!$C$16))-'💼 תוכנית עסקית'!$C$9</f>
        <v>975</v>
      </c>
      <c r="G16" s="60" t="n">
        <f aca="false">(G$14*('💼 תוכנית עסקית'!$C$10+'💼 תוכנית עסקית'!$C$13+$B16*'💼 תוכנית עסקית'!$C$16))-'💼 תוכנית עסקית'!$C$9</f>
        <v>1268.75</v>
      </c>
      <c r="H16" s="60" t="n">
        <f aca="false">(H$14*('💼 תוכנית עסקית'!$C$10+'💼 תוכנית עסקית'!$C$13+$B16*'💼 תוכנית עסקית'!$C$16))-'💼 תוכנית עסקית'!$C$9</f>
        <v>1562.5</v>
      </c>
      <c r="I16" s="60" t="n">
        <f aca="false">(I$14*('💼 תוכנית עסקית'!$C$10+'💼 תוכנית עסקית'!$C$13+$B16*'💼 תוכנית עסקית'!$C$16))-'💼 תוכנית עסקית'!$C$9</f>
        <v>1856.25</v>
      </c>
      <c r="J16" s="60" t="n">
        <f aca="false">(J$14*('💼 תוכנית עסקית'!$C$10+'💼 תוכנית עסקית'!$C$13+$B16*'💼 תוכנית עסקית'!$C$16))-'💼 תוכנית עסקית'!$C$9</f>
        <v>2150</v>
      </c>
      <c r="K16" s="60" t="n">
        <f aca="false">(K$14*('💼 תוכנית עסקית'!$C$10+'💼 תוכנית עסקית'!$C$13+$B16*'💼 תוכנית עסקית'!$C$16))-'💼 תוכנית עסקית'!$C$9</f>
        <v>2443.75</v>
      </c>
      <c r="L16" s="60" t="n">
        <f aca="false">(L$14*('💼 תוכנית עסקית'!$C$10+'💼 תוכנית עסקית'!$C$13+$B16*'💼 תוכנית עסקית'!$C$16))-'💼 תוכנית עסקית'!$C$9</f>
        <v>2737.5</v>
      </c>
      <c r="M16" s="10"/>
    </row>
    <row r="17" customFormat="false" ht="27.75" hidden="false" customHeight="true" outlineLevel="0" collapsed="false">
      <c r="A17" s="10"/>
      <c r="B17" s="60" t="n">
        <v>15000</v>
      </c>
      <c r="C17" s="60" t="n">
        <f aca="false">(C$14*('💼 תוכנית עסקית'!$C$10+'💼 תוכנית עסקית'!$C$13+$B17*'💼 תוכנית עסקית'!$C$16))-'💼 תוכנית עסקית'!$C$9</f>
        <v>112.5</v>
      </c>
      <c r="D17" s="60" t="n">
        <f aca="false">(D$14*('💼 תוכנית עסקית'!$C$10+'💼 תוכנית עסקית'!$C$13+$B17*'💼 תוכנית עסקית'!$C$16))-'💼 תוכנית עסקית'!$C$9</f>
        <v>425</v>
      </c>
      <c r="E17" s="60" t="n">
        <f aca="false">(E$14*('💼 תוכנית עסקית'!$C$10+'💼 תוכנית עסקית'!$C$13+$B17*'💼 תוכנית עסקית'!$C$16))-'💼 תוכנית עסקית'!$C$9</f>
        <v>737.5</v>
      </c>
      <c r="F17" s="60" t="n">
        <f aca="false">(F$14*('💼 תוכנית עסקית'!$C$10+'💼 תוכנית עסקית'!$C$13+$B17*'💼 תוכנית עסקית'!$C$16))-'💼 תוכנית עסקית'!$C$9</f>
        <v>1050</v>
      </c>
      <c r="G17" s="60" t="n">
        <f aca="false">(G$14*('💼 תוכנית עסקית'!$C$10+'💼 תוכנית עסקית'!$C$13+$B17*'💼 תוכנית עסקית'!$C$16))-'💼 תוכנית עסקית'!$C$9</f>
        <v>1362.5</v>
      </c>
      <c r="H17" s="60" t="n">
        <f aca="false">(H$14*('💼 תוכנית עסקית'!$C$10+'💼 תוכנית עסקית'!$C$13+$B17*'💼 תוכנית עסקית'!$C$16))-'💼 תוכנית עסקית'!$C$9</f>
        <v>1675</v>
      </c>
      <c r="I17" s="60" t="n">
        <f aca="false">(I$14*('💼 תוכנית עסקית'!$C$10+'💼 תוכנית עסקית'!$C$13+$B17*'💼 תוכנית עסקית'!$C$16))-'💼 תוכנית עסקית'!$C$9</f>
        <v>1987.5</v>
      </c>
      <c r="J17" s="60" t="n">
        <f aca="false">(J$14*('💼 תוכנית עסקית'!$C$10+'💼 תוכנית עסקית'!$C$13+$B17*'💼 תוכנית עסקית'!$C$16))-'💼 תוכנית עסקית'!$C$9</f>
        <v>2300</v>
      </c>
      <c r="K17" s="60" t="n">
        <f aca="false">(K$14*('💼 תוכנית עסקית'!$C$10+'💼 תוכנית עסקית'!$C$13+$B17*'💼 תוכנית עסקית'!$C$16))-'💼 תוכנית עסקית'!$C$9</f>
        <v>2612.5</v>
      </c>
      <c r="L17" s="60" t="n">
        <f aca="false">(L$14*('💼 תוכנית עסקית'!$C$10+'💼 תוכנית עסקית'!$C$13+$B17*'💼 תוכנית עסקית'!$C$16))-'💼 תוכנית עסקית'!$C$9</f>
        <v>2925</v>
      </c>
      <c r="M17" s="10"/>
    </row>
    <row r="18" customFormat="false" ht="27.75" hidden="false" customHeight="true" outlineLevel="0" collapsed="false">
      <c r="A18" s="10"/>
      <c r="B18" s="60" t="n">
        <v>17500</v>
      </c>
      <c r="C18" s="60" t="n">
        <f aca="false">(C$14*('💼 תוכנית עסקית'!$C$10+'💼 תוכנית עסקית'!$C$13+$B18*'💼 תוכנית עסקית'!$C$16))-'💼 תוכנית עסקית'!$C$9</f>
        <v>131.25</v>
      </c>
      <c r="D18" s="60" t="n">
        <f aca="false">(D$14*('💼 תוכנית עסקית'!$C$10+'💼 תוכנית עסקית'!$C$13+$B18*'💼 תוכנית עסקית'!$C$16))-'💼 תוכנית עסקית'!$C$9</f>
        <v>462.5</v>
      </c>
      <c r="E18" s="60" t="n">
        <f aca="false">(E$14*('💼 תוכנית עסקית'!$C$10+'💼 תוכנית עסקית'!$C$13+$B18*'💼 תוכנית עסקית'!$C$16))-'💼 תוכנית עסקית'!$C$9</f>
        <v>793.75</v>
      </c>
      <c r="F18" s="60" t="n">
        <f aca="false">(F$14*('💼 תוכנית עסקית'!$C$10+'💼 תוכנית עסקית'!$C$13+$B18*'💼 תוכנית עסקית'!$C$16))-'💼 תוכנית עסקית'!$C$9</f>
        <v>1125</v>
      </c>
      <c r="G18" s="60" t="n">
        <f aca="false">(G$14*('💼 תוכנית עסקית'!$C$10+'💼 תוכנית עסקית'!$C$13+$B18*'💼 תוכנית עסקית'!$C$16))-'💼 תוכנית עסקית'!$C$9</f>
        <v>1456.25</v>
      </c>
      <c r="H18" s="60" t="n">
        <f aca="false">(H$14*('💼 תוכנית עסקית'!$C$10+'💼 תוכנית עסקית'!$C$13+$B18*'💼 תוכנית עסקית'!$C$16))-'💼 תוכנית עסקית'!$C$9</f>
        <v>1787.5</v>
      </c>
      <c r="I18" s="60" t="n">
        <f aca="false">(I$14*('💼 תוכנית עסקית'!$C$10+'💼 תוכנית עסקית'!$C$13+$B18*'💼 תוכנית עסקית'!$C$16))-'💼 תוכנית עסקית'!$C$9</f>
        <v>2118.75</v>
      </c>
      <c r="J18" s="60" t="n">
        <f aca="false">(J$14*('💼 תוכנית עסקית'!$C$10+'💼 תוכנית עסקית'!$C$13+$B18*'💼 תוכנית עסקית'!$C$16))-'💼 תוכנית עסקית'!$C$9</f>
        <v>2450</v>
      </c>
      <c r="K18" s="60" t="n">
        <f aca="false">(K$14*('💼 תוכנית עסקית'!$C$10+'💼 תוכנית עסקית'!$C$13+$B18*'💼 תוכנית עסקית'!$C$16))-'💼 תוכנית עסקית'!$C$9</f>
        <v>2781.25</v>
      </c>
      <c r="L18" s="60" t="n">
        <f aca="false">(L$14*('💼 תוכנית עסקית'!$C$10+'💼 תוכנית עסקית'!$C$13+$B18*'💼 תוכנית עסקית'!$C$16))-'💼 תוכנית עסקית'!$C$9</f>
        <v>3112.5</v>
      </c>
      <c r="M18" s="10"/>
    </row>
    <row r="19" customFormat="false" ht="27.75" hidden="false" customHeight="true" outlineLevel="0" collapsed="false">
      <c r="A19" s="10"/>
      <c r="B19" s="60" t="n">
        <v>20000</v>
      </c>
      <c r="C19" s="1" t="n">
        <f aca="false">(C$14*('💼 תוכנית עסקית'!$C$10+'💼 תוכנית עסקית'!$C$13+$B19*'💼 תוכנית עסקית'!$C$16))-'💼 תוכנית עסקית'!$C$9</f>
        <v>150</v>
      </c>
      <c r="D19" s="1" t="n">
        <f aca="false">(D$14*('💼 תוכנית עסקית'!$C$10+'💼 תוכנית עסקית'!$C$13+$B19*'💼 תוכנית עסקית'!$C$16))-'💼 תוכנית עסקית'!$C$9</f>
        <v>500</v>
      </c>
      <c r="E19" s="60" t="n">
        <f aca="false">(E$14*('💼 תוכנית עסקית'!$C$10+'💼 תוכנית עסקית'!$C$13+$B19*'💼 תוכנית עסקית'!$C$16))-'💼 תוכנית עסקית'!$C$9</f>
        <v>850</v>
      </c>
      <c r="F19" s="60" t="n">
        <f aca="false">(F$14*('💼 תוכנית עסקית'!$C$10+'💼 תוכנית עסקית'!$C$13+$B19*'💼 תוכנית עסקית'!$C$16))-'💼 תוכנית עסקית'!$C$9</f>
        <v>1200</v>
      </c>
      <c r="G19" s="60" t="n">
        <f aca="false">(G$14*('💼 תוכנית עסקית'!$C$10+'💼 תוכנית עסקית'!$C$13+$B19*'💼 תוכנית עסקית'!$C$16))-'💼 תוכנית עסקית'!$C$9</f>
        <v>1550</v>
      </c>
      <c r="H19" s="60" t="n">
        <f aca="false">(H$14*('💼 תוכנית עסקית'!$C$10+'💼 תוכנית עסקית'!$C$13+$B19*'💼 תוכנית עסקית'!$C$16))-'💼 תוכנית עסקית'!$C$9</f>
        <v>1900</v>
      </c>
      <c r="I19" s="60" t="n">
        <f aca="false">(I$14*('💼 תוכנית עסקית'!$C$10+'💼 תוכנית עסקית'!$C$13+$B19*'💼 תוכנית עסקית'!$C$16))-'💼 תוכנית עסקית'!$C$9</f>
        <v>2250</v>
      </c>
      <c r="J19" s="60" t="n">
        <f aca="false">(J$14*('💼 תוכנית עסקית'!$C$10+'💼 תוכנית עסקית'!$C$13+$B19*'💼 תוכנית עסקית'!$C$16))-'💼 תוכנית עסקית'!$C$9</f>
        <v>2600</v>
      </c>
      <c r="K19" s="60" t="n">
        <f aca="false">(K$14*('💼 תוכנית עסקית'!$C$10+'💼 תוכנית עסקית'!$C$13+$B19*'💼 תוכנית עסקית'!$C$16))-'💼 תוכנית עסקית'!$C$9</f>
        <v>2950</v>
      </c>
      <c r="L19" s="60" t="n">
        <f aca="false">(L$14*('💼 תוכנית עסקית'!$C$10+'💼 תוכנית עסקית'!$C$13+$B19*'💼 תוכנית עסקית'!$C$16))-'💼 תוכנית עסקית'!$C$9</f>
        <v>3300</v>
      </c>
      <c r="M19" s="10"/>
    </row>
    <row r="20" customFormat="false" ht="27.75" hidden="false" customHeight="true" outlineLevel="0" collapsed="false">
      <c r="A20" s="10"/>
      <c r="B20" s="60" t="n">
        <v>22500</v>
      </c>
      <c r="C20" s="60" t="n">
        <f aca="false">(C$14*('💼 תוכנית עסקית'!$C$10+'💼 תוכנית עסקית'!$C$13+$B20*'💼 תוכנית עסקית'!$C$16))-'💼 תוכנית עסקית'!$C$9</f>
        <v>168.75</v>
      </c>
      <c r="D20" s="60" t="n">
        <f aca="false">(D$14*('💼 תוכנית עסקית'!$C$10+'💼 תוכנית עסקית'!$C$13+$B20*'💼 תוכנית עסקית'!$C$16))-'💼 תוכנית עסקית'!$C$9</f>
        <v>537.5</v>
      </c>
      <c r="E20" s="60" t="n">
        <f aca="false">(E$14*('💼 תוכנית עסקית'!$C$10+'💼 תוכנית עסקית'!$C$13+$B20*'💼 תוכנית עסקית'!$C$16))-'💼 תוכנית עסקית'!$C$9</f>
        <v>906.25</v>
      </c>
      <c r="F20" s="60" t="n">
        <f aca="false">(F$14*('💼 תוכנית עסקית'!$C$10+'💼 תוכנית עסקית'!$C$13+$B20*'💼 תוכנית עסקית'!$C$16))-'💼 תוכנית עסקית'!$C$9</f>
        <v>1275</v>
      </c>
      <c r="G20" s="60" t="n">
        <f aca="false">(G$14*('💼 תוכנית עסקית'!$C$10+'💼 תוכנית עסקית'!$C$13+$B20*'💼 תוכנית עסקית'!$C$16))-'💼 תוכנית עסקית'!$C$9</f>
        <v>1643.75</v>
      </c>
      <c r="H20" s="60" t="n">
        <f aca="false">(H$14*('💼 תוכנית עסקית'!$C$10+'💼 תוכנית עסקית'!$C$13+$B20*'💼 תוכנית עסקית'!$C$16))-'💼 תוכנית עסקית'!$C$9</f>
        <v>2012.5</v>
      </c>
      <c r="I20" s="60" t="n">
        <f aca="false">(I$14*('💼 תוכנית עסקית'!$C$10+'💼 תוכנית עסקית'!$C$13+$B20*'💼 תוכנית עסקית'!$C$16))-'💼 תוכנית עסקית'!$C$9</f>
        <v>2381.25</v>
      </c>
      <c r="J20" s="60" t="n">
        <f aca="false">(J$14*('💼 תוכנית עסקית'!$C$10+'💼 תוכנית עסקית'!$C$13+$B20*'💼 תוכנית עסקית'!$C$16))-'💼 תוכנית עסקית'!$C$9</f>
        <v>2750</v>
      </c>
      <c r="K20" s="60" t="n">
        <f aca="false">(K$14*('💼 תוכנית עסקית'!$C$10+'💼 תוכנית עסקית'!$C$13+$B20*'💼 תוכנית עסקית'!$C$16))-'💼 תוכנית עסקית'!$C$9</f>
        <v>3118.75</v>
      </c>
      <c r="L20" s="60" t="n">
        <f aca="false">(L$14*('💼 תוכנית עסקית'!$C$10+'💼 תוכנית עסקית'!$C$13+$B20*'💼 תוכנית עסקית'!$C$16))-'💼 תוכנית עסקית'!$C$9</f>
        <v>3487.5</v>
      </c>
      <c r="M20" s="10"/>
    </row>
    <row r="21" customFormat="false" ht="27.75" hidden="false" customHeight="true" outlineLevel="0" collapsed="false">
      <c r="A21" s="10"/>
      <c r="B21" s="65" t="n">
        <v>25000</v>
      </c>
      <c r="C21" s="1" t="n">
        <f aca="false">(C$14*('💼 תוכנית עסקית'!$C$10+'💼 תוכנית עסקית'!$C$13+$B21*'💼 תוכנית עסקית'!$C$16))-'💼 תוכנית עסקית'!$C$9</f>
        <v>187.5</v>
      </c>
      <c r="D21" s="1" t="n">
        <f aca="false">(D$14*('💼 תוכנית עסקית'!$C$10+'💼 תוכנית עסקית'!$C$13+$B21*'💼 תוכנית עסקית'!$C$16))-'💼 תוכנית עסקית'!$C$9</f>
        <v>575</v>
      </c>
      <c r="E21" s="1" t="n">
        <f aca="false">(E$14*('💼 תוכנית עסקית'!$C$10+'💼 תוכנית עסקית'!$C$13+$B21*'💼 תוכנית עסקית'!$C$16))-'💼 תוכנית עסקית'!$C$9</f>
        <v>962.5</v>
      </c>
      <c r="F21" s="1" t="n">
        <f aca="false">(F$14*('💼 תוכנית עסקית'!$C$10+'💼 תוכנית עסקית'!$C$13+$B21*'💼 תוכנית עסקית'!$C$16))-'💼 תוכנית עסקית'!$C$9</f>
        <v>1350</v>
      </c>
      <c r="G21" s="1" t="n">
        <f aca="false">(G$14*('💼 תוכנית עסקית'!$C$10+'💼 תוכנית עסקית'!$C$13+$B21*'💼 תוכנית עסקית'!$C$16))-'💼 תוכנית עסקית'!$C$9</f>
        <v>1737.5</v>
      </c>
      <c r="H21" s="1" t="n">
        <f aca="false">(H$14*('💼 תוכנית עסקית'!$C$10+'💼 תוכנית עסקית'!$C$13+$B21*'💼 תוכנית עסקית'!$C$16))-'💼 תוכנית עסקית'!$C$9</f>
        <v>2125</v>
      </c>
      <c r="I21" s="1" t="n">
        <f aca="false">(I$14*('💼 תוכנית עסקית'!$C$10+'💼 תוכנית עסקית'!$C$13+$B21*'💼 תוכנית עסקית'!$C$16))-'💼 תוכנית עסקית'!$C$9</f>
        <v>2512.5</v>
      </c>
      <c r="J21" s="1" t="n">
        <f aca="false">(J$14*('💼 תוכנית עסקית'!$C$10+'💼 תוכנית עסקית'!$C$13+$B21*'💼 תוכנית עסקית'!$C$16))-'💼 תוכנית עסקית'!$C$9</f>
        <v>2900</v>
      </c>
      <c r="K21" s="1" t="n">
        <f aca="false">(K$14*('💼 תוכנית עסקית'!$C$10+'💼 תוכנית עסקית'!$C$13+$B21*'💼 תוכנית עסקית'!$C$16))-'💼 תוכנית עסקית'!$C$9</f>
        <v>3287.5</v>
      </c>
      <c r="L21" s="1" t="n">
        <f aca="false">(L$14*('💼 תוכנית עסקית'!$C$10+'💼 תוכנית עסקית'!$C$13+$B21*'💼 תוכנית עסקית'!$C$16))-'💼 תוכנית עסקית'!$C$9</f>
        <v>3675</v>
      </c>
    </row>
    <row r="22" customFormat="false" ht="27.75" hidden="false" customHeight="true" outlineLevel="0" collapsed="false">
      <c r="A22" s="10"/>
      <c r="B22" s="60" t="n">
        <v>30000</v>
      </c>
      <c r="C22" s="60" t="n">
        <f aca="false">(C$14*('💼 תוכנית עסקית'!$C$10+'💼 תוכנית עסקית'!$C$13+$B22*'💼 תוכנית עסקית'!$C$16))-'💼 תוכנית עסקית'!$C$9</f>
        <v>225</v>
      </c>
      <c r="D22" s="60" t="n">
        <f aca="false">(D$14*('💼 תוכנית עסקית'!$C$10+'💼 תוכנית עסקית'!$C$13+$B22*'💼 תוכנית עסקית'!$C$16))-'💼 תוכנית עסקית'!$C$9</f>
        <v>650</v>
      </c>
      <c r="E22" s="60" t="n">
        <f aca="false">(E$14*('💼 תוכנית עסקית'!$C$10+'💼 תוכנית עסקית'!$C$13+$B22*'💼 תוכנית עסקית'!$C$16))-'💼 תוכנית עסקית'!$C$9</f>
        <v>1075</v>
      </c>
      <c r="F22" s="60" t="n">
        <f aca="false">(F$14*('💼 תוכנית עסקית'!$C$10+'💼 תוכנית עסקית'!$C$13+$B22*'💼 תוכנית עסקית'!$C$16))-'💼 תוכנית עסקית'!$C$9</f>
        <v>1500</v>
      </c>
      <c r="G22" s="60" t="n">
        <f aca="false">(G$14*('💼 תוכנית עסקית'!$C$10+'💼 תוכנית עסקית'!$C$13+$B22*'💼 תוכנית עסקית'!$C$16))-'💼 תוכנית עסקית'!$C$9</f>
        <v>1925</v>
      </c>
      <c r="H22" s="60" t="n">
        <f aca="false">(H$14*('💼 תוכנית עסקית'!$C$10+'💼 תוכנית עסקית'!$C$13+$B22*'💼 תוכנית עסקית'!$C$16))-'💼 תוכנית עסקית'!$C$9</f>
        <v>2350</v>
      </c>
      <c r="I22" s="60" t="n">
        <f aca="false">(I$14*('💼 תוכנית עסקית'!$C$10+'💼 תוכנית עסקית'!$C$13+$B22*'💼 תוכנית עסקית'!$C$16))-'💼 תוכנית עסקית'!$C$9</f>
        <v>2775</v>
      </c>
      <c r="J22" s="60" t="n">
        <f aca="false">(J$14*('💼 תוכנית עסקית'!$C$10+'💼 תוכנית עסקית'!$C$13+$B22*'💼 תוכנית עסקית'!$C$16))-'💼 תוכנית עסקית'!$C$9</f>
        <v>3200</v>
      </c>
      <c r="K22" s="60" t="n">
        <f aca="false">(K$14*('💼 תוכנית עסקית'!$C$10+'💼 תוכנית עסקית'!$C$13+$B22*'💼 תוכנית עסקית'!$C$16))-'💼 תוכנית עסקית'!$C$9</f>
        <v>3625</v>
      </c>
      <c r="L22" s="60" t="n">
        <f aca="false">(L$14*('💼 תוכנית עסקית'!$C$10+'💼 תוכנית עסקית'!$C$13+$B22*'💼 תוכנית עסקית'!$C$16))-'💼 תוכנית עסקית'!$C$9</f>
        <v>4050</v>
      </c>
      <c r="M22" s="10"/>
    </row>
    <row r="23" customFormat="false" ht="27.75" hidden="false" customHeight="true" outlineLevel="0" collapsed="false">
      <c r="A23" s="10"/>
      <c r="B23" s="60" t="n">
        <v>35000</v>
      </c>
      <c r="C23" s="60" t="n">
        <f aca="false">(C$14*('💼 תוכנית עסקית'!$C$10+'💼 תוכנית עסקית'!$C$13+$B23*'💼 תוכנית עסקית'!$C$16))-'💼 תוכנית עסקית'!$C$9</f>
        <v>262.5</v>
      </c>
      <c r="D23" s="60" t="n">
        <f aca="false">(D$14*('💼 תוכנית עסקית'!$C$10+'💼 תוכנית עסקית'!$C$13+$B23*'💼 תוכנית עסקית'!$C$16))-'💼 תוכנית עסקית'!$C$9</f>
        <v>725</v>
      </c>
      <c r="E23" s="60" t="n">
        <f aca="false">(E$14*('💼 תוכנית עסקית'!$C$10+'💼 תוכנית עסקית'!$C$13+$B23*'💼 תוכנית עסקית'!$C$16))-'💼 תוכנית עסקית'!$C$9</f>
        <v>1187.5</v>
      </c>
      <c r="F23" s="60" t="n">
        <f aca="false">(F$14*('💼 תוכנית עסקית'!$C$10+'💼 תוכנית עסקית'!$C$13+$B23*'💼 תוכנית עסקית'!$C$16))-'💼 תוכנית עסקית'!$C$9</f>
        <v>1650</v>
      </c>
      <c r="G23" s="60" t="n">
        <f aca="false">(G$14*('💼 תוכנית עסקית'!$C$10+'💼 תוכנית עסקית'!$C$13+$B23*'💼 תוכנית עסקית'!$C$16))-'💼 תוכנית עסקית'!$C$9</f>
        <v>2112.5</v>
      </c>
      <c r="H23" s="60" t="n">
        <f aca="false">(H$14*('💼 תוכנית עסקית'!$C$10+'💼 תוכנית עסקית'!$C$13+$B23*'💼 תוכנית עסקית'!$C$16))-'💼 תוכנית עסקית'!$C$9</f>
        <v>2575</v>
      </c>
      <c r="I23" s="60" t="n">
        <f aca="false">(I$14*('💼 תוכנית עסקית'!$C$10+'💼 תוכנית עסקית'!$C$13+$B23*'💼 תוכנית עסקית'!$C$16))-'💼 תוכנית עסקית'!$C$9</f>
        <v>3037.5</v>
      </c>
      <c r="J23" s="60" t="n">
        <f aca="false">(J$14*('💼 תוכנית עסקית'!$C$10+'💼 תוכנית עסקית'!$C$13+$B23*'💼 תוכנית עסקית'!$C$16))-'💼 תוכנית עסקית'!$C$9</f>
        <v>3500</v>
      </c>
      <c r="K23" s="60" t="n">
        <f aca="false">(K$14*('💼 תוכנית עסקית'!$C$10+'💼 תוכנית עסקית'!$C$13+$B23*'💼 תוכנית עסקית'!$C$16))-'💼 תוכנית עסקית'!$C$9</f>
        <v>3962.5</v>
      </c>
      <c r="L23" s="60" t="n">
        <f aca="false">(L$14*('💼 תוכנית עסקית'!$C$10+'💼 תוכנית עסקית'!$C$13+$B23*'💼 תוכנית עסקית'!$C$16))-'💼 תוכנית עסקית'!$C$9</f>
        <v>4425</v>
      </c>
      <c r="M23" s="10"/>
    </row>
  </sheetData>
  <autoFilter ref="B5:D10"/>
  <conditionalFormatting sqref="C15:L23">
    <cfRule type="colorScale" priority="2">
      <colorScale>
        <cfvo type="num" val="-500"/>
        <cfvo type="num" val="0"/>
        <cfvo type="num" val="400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8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7.5" hidden="false" customHeight="true" outlineLevel="0" collapsed="false">
      <c r="A2" s="10"/>
      <c r="B2" s="18" t="s">
        <v>1070</v>
      </c>
    </row>
    <row r="3" customFormat="false" ht="27.75" hidden="false" customHeight="true" outlineLevel="0" collapsed="false">
      <c r="A3" s="10"/>
      <c r="B3" s="42" t="s">
        <v>1071</v>
      </c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7.75" hidden="false" customHeight="true" outlineLevel="0" collapsed="false">
      <c r="A5" s="10"/>
      <c r="B5" s="44" t="s">
        <v>833</v>
      </c>
      <c r="J5" s="10"/>
      <c r="K5" s="10"/>
      <c r="L5" s="10"/>
    </row>
    <row r="6" customFormat="false" ht="27.75" hidden="false" customHeight="true" outlineLevel="0" collapsed="false">
      <c r="A6" s="10"/>
      <c r="B6" s="63" t="s">
        <v>1072</v>
      </c>
      <c r="C6" s="64" t="n">
        <v>5</v>
      </c>
      <c r="D6" s="64" t="n">
        <v>20</v>
      </c>
      <c r="E6" s="64" t="n">
        <v>60</v>
      </c>
      <c r="F6" s="64" t="n">
        <v>120</v>
      </c>
      <c r="G6" s="64" t="n">
        <v>200</v>
      </c>
      <c r="H6" s="64" t="n">
        <v>300</v>
      </c>
      <c r="I6" s="64" t="n">
        <v>450</v>
      </c>
      <c r="J6" s="10"/>
      <c r="K6" s="10"/>
      <c r="L6" s="10"/>
    </row>
    <row r="7" customFormat="false" ht="27.75" hidden="false" customHeight="true" outlineLevel="0" collapsed="false">
      <c r="A7" s="10"/>
      <c r="B7" s="63" t="s">
        <v>1073</v>
      </c>
      <c r="C7" s="64" t="n">
        <v>5</v>
      </c>
      <c r="D7" s="64" t="n">
        <f aca="false">D6-C6</f>
        <v>15</v>
      </c>
      <c r="E7" s="64" t="n">
        <f aca="false">E6-D6</f>
        <v>40</v>
      </c>
      <c r="F7" s="64" t="n">
        <f aca="false">F6-E6</f>
        <v>60</v>
      </c>
      <c r="G7" s="64" t="n">
        <f aca="false">G6-F6</f>
        <v>80</v>
      </c>
      <c r="H7" s="64" t="n">
        <f aca="false">H6-G6</f>
        <v>100</v>
      </c>
      <c r="I7" s="64" t="n">
        <f aca="false">I6-H6</f>
        <v>150</v>
      </c>
      <c r="J7" s="10"/>
      <c r="K7" s="10"/>
      <c r="L7" s="10"/>
    </row>
    <row r="8" customFormat="false" ht="27.75" hidden="false" customHeight="true" outlineLevel="0" collapsed="false">
      <c r="A8" s="10"/>
      <c r="B8" s="63" t="s">
        <v>1074</v>
      </c>
      <c r="C8" s="68" t="n">
        <f aca="false">C6/450</f>
        <v>0.0111111111111111</v>
      </c>
      <c r="D8" s="68" t="n">
        <f aca="false">D6/450</f>
        <v>0.0444444444444444</v>
      </c>
      <c r="E8" s="68" t="n">
        <f aca="false">E6/450</f>
        <v>0.133333333333333</v>
      </c>
      <c r="F8" s="68" t="n">
        <f aca="false">F6/450</f>
        <v>0.266666666666667</v>
      </c>
      <c r="G8" s="68" t="n">
        <f aca="false">G6/450</f>
        <v>0.444444444444444</v>
      </c>
      <c r="H8" s="68" t="n">
        <f aca="false">H6/450</f>
        <v>0.666666666666667</v>
      </c>
      <c r="I8" s="68" t="n">
        <f aca="false">I6/450</f>
        <v>1</v>
      </c>
      <c r="J8" s="10"/>
      <c r="K8" s="10"/>
      <c r="L8" s="10"/>
    </row>
    <row r="9" customFormat="false" ht="27.75" hidden="false" customHeight="true" outlineLevel="0" collapsed="false">
      <c r="A9" s="10"/>
      <c r="B9" s="63" t="s">
        <v>1049</v>
      </c>
      <c r="C9" s="64" t="n">
        <v>2</v>
      </c>
      <c r="D9" s="64" t="n">
        <v>3</v>
      </c>
      <c r="E9" s="64" t="n">
        <v>4</v>
      </c>
      <c r="F9" s="64" t="n">
        <v>5</v>
      </c>
      <c r="G9" s="64" t="n">
        <v>5</v>
      </c>
      <c r="H9" s="64" t="n">
        <v>5</v>
      </c>
      <c r="I9" s="64" t="n">
        <v>5</v>
      </c>
      <c r="J9" s="10"/>
      <c r="K9" s="10"/>
      <c r="L9" s="10"/>
    </row>
    <row r="10" customFormat="false" ht="27.75" hidden="false" customHeight="true" outlineLevel="0" collapsed="false">
      <c r="A10" s="10"/>
      <c r="B10" s="63" t="s">
        <v>1075</v>
      </c>
      <c r="C10" s="60" t="n">
        <f aca="false">AVERAGE(C6,C6-C7)*C9*12*'💼 תוכנית עסקית'!$C$27</f>
        <v>1350000</v>
      </c>
      <c r="D10" s="60" t="n">
        <f aca="false">AVERAGE(D6,D6-D7)*D9*12*'💼 תוכנית עסקית'!$C$27</f>
        <v>10125000</v>
      </c>
      <c r="E10" s="60" t="n">
        <f aca="false">AVERAGE(E6,E6-E7)*E9*12*'💼 תוכנית עסקית'!$C$27</f>
        <v>43200000</v>
      </c>
      <c r="F10" s="60" t="n">
        <f aca="false">AVERAGE(F6,F6-F7)*F9*12*'💼 תוכנית עסקית'!$C$27</f>
        <v>121500000</v>
      </c>
      <c r="G10" s="60" t="n">
        <f aca="false">AVERAGE(G6,G6-G7)*G9*12*'💼 תוכנית עסקית'!$C$27</f>
        <v>216000000</v>
      </c>
      <c r="H10" s="60" t="n">
        <f aca="false">AVERAGE(H6,H6-H7)*H9*12*'💼 תוכנית עסקית'!$C$27</f>
        <v>337500000</v>
      </c>
      <c r="I10" s="60" t="n">
        <f aca="false">AVERAGE(I6,I6-I7)*I9*12*'💼 תוכנית עסקית'!$C$27</f>
        <v>506250000</v>
      </c>
      <c r="J10" s="10"/>
      <c r="K10" s="10"/>
      <c r="L10" s="10"/>
    </row>
    <row r="11" customFormat="false" ht="27.75" hidden="false" customHeight="true" outlineLevel="0" collapsed="false">
      <c r="A11" s="10"/>
      <c r="B11" s="63" t="s">
        <v>1076</v>
      </c>
      <c r="C11" s="56" t="n">
        <f aca="false">'💰 רווח והפסד'!C27</f>
        <v>28125</v>
      </c>
      <c r="D11" s="56" t="n">
        <f aca="false">'💰 רווח והפסד'!D27</f>
        <v>195937.5</v>
      </c>
      <c r="E11" s="56" t="n">
        <f aca="false">'💰 רווח והפסד'!E27</f>
        <v>804000</v>
      </c>
      <c r="F11" s="56" t="n">
        <f aca="false">'💰 רווח והפסד'!F27</f>
        <v>2207250</v>
      </c>
      <c r="G11" s="56" t="n">
        <f aca="false">'💰 רווח והפסד'!G27</f>
        <v>3924000</v>
      </c>
      <c r="H11" s="56" t="n">
        <f aca="false">'💰 רווח והפסד'!H27</f>
        <v>6131250</v>
      </c>
      <c r="I11" s="56" t="n">
        <f aca="false">'💰 רווח והפסד'!I27</f>
        <v>9196875</v>
      </c>
      <c r="J11" s="10"/>
      <c r="K11" s="10"/>
      <c r="L11" s="10"/>
    </row>
    <row r="12" customFormat="false" ht="27.75" hidden="false" customHeight="true" outlineLevel="0" collapsed="false">
      <c r="A12" s="10"/>
      <c r="B12" s="63" t="s">
        <v>1058</v>
      </c>
      <c r="C12" s="60" t="n">
        <f aca="false">'💰 רווח והפסד'!C32</f>
        <v>-339375</v>
      </c>
      <c r="D12" s="60" t="n">
        <f aca="false">'💰 רווח והפסד'!D32</f>
        <v>-230562.5</v>
      </c>
      <c r="E12" s="60" t="n">
        <f aca="false">'💰 רווח והפסד'!E32</f>
        <v>224000</v>
      </c>
      <c r="F12" s="60" t="n">
        <f aca="false">'💰 רווח והפסד'!F32</f>
        <v>1412250</v>
      </c>
      <c r="G12" s="60" t="n">
        <f aca="false">'💰 רווח והפסד'!G32</f>
        <v>2891000</v>
      </c>
      <c r="H12" s="60" t="n">
        <f aca="false">'💰 רווח והפסד'!H32</f>
        <v>4787250</v>
      </c>
      <c r="I12" s="60" t="n">
        <f aca="false">'💰 רווח והפסד'!I32</f>
        <v>7377875</v>
      </c>
      <c r="J12" s="10"/>
      <c r="K12" s="10"/>
      <c r="L12" s="10"/>
    </row>
    <row r="13" customFormat="false" ht="27.75" hidden="false" customHeight="true" outlineLevel="0" collapsed="false">
      <c r="A13" s="10"/>
      <c r="B13" s="63" t="s">
        <v>1077</v>
      </c>
      <c r="C13" s="60" t="n">
        <f aca="false">C12</f>
        <v>-339375</v>
      </c>
      <c r="D13" s="60" t="n">
        <f aca="false">C13+D12</f>
        <v>-569937.5</v>
      </c>
      <c r="E13" s="60" t="n">
        <f aca="false">D13+E12</f>
        <v>-345937.5</v>
      </c>
      <c r="F13" s="60" t="n">
        <f aca="false">E13+F12</f>
        <v>1066312.5</v>
      </c>
      <c r="G13" s="60" t="n">
        <f aca="false">F13+G12</f>
        <v>3957312.5</v>
      </c>
      <c r="H13" s="60" t="n">
        <f aca="false">G13+H12</f>
        <v>8744562.5</v>
      </c>
      <c r="I13" s="60" t="n">
        <f aca="false">H13+I12</f>
        <v>16122437.5</v>
      </c>
      <c r="J13" s="10"/>
      <c r="K13" s="10"/>
      <c r="L13" s="10"/>
    </row>
    <row r="14" customFormat="false" ht="27.75" hidden="false" customHeight="true" outlineLevel="0" collapsed="false">
      <c r="A14" s="10"/>
      <c r="B14" s="63" t="s">
        <v>1078</v>
      </c>
      <c r="C14" s="64" t="str">
        <f aca="false">IF(C12&gt;0,"רווחי","טרום איזון")</f>
        <v>טרום איזון</v>
      </c>
      <c r="D14" s="64" t="str">
        <f aca="false">IF(D12&gt;0,"רווחי","טרום איזון")</f>
        <v>טרום איזון</v>
      </c>
      <c r="E14" s="64" t="str">
        <f aca="false">IF(E12&gt;0,"רווחי","טרום איזון")</f>
        <v>רווחי</v>
      </c>
      <c r="F14" s="64" t="str">
        <f aca="false">IF(F12&gt;0,"רווחי","טרום איזון")</f>
        <v>רווחי</v>
      </c>
      <c r="G14" s="64" t="str">
        <f aca="false">IF(G12&gt;0,"רווחי","טרום איזון")</f>
        <v>רווחי</v>
      </c>
      <c r="H14" s="64" t="str">
        <f aca="false">IF(H12&gt;0,"רווחי","טרום איזון")</f>
        <v>רווחי</v>
      </c>
      <c r="I14" s="64" t="str">
        <f aca="false">IF(I12&gt;0,"רווחי","טרום איזון")</f>
        <v>רווחי</v>
      </c>
      <c r="J14" s="10"/>
      <c r="K14" s="10"/>
      <c r="L14" s="10"/>
    </row>
    <row r="15" customFormat="false" ht="7.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7.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5" customFormat="false" ht="21.7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6" min="5" style="0" width="26"/>
    <col collapsed="false" customWidth="true" hidden="false" outlineLevel="0" max="7" min="7" style="0" width="14"/>
    <col collapsed="false" customWidth="true" hidden="false" outlineLevel="0" max="8" min="8" style="0" width="12"/>
  </cols>
  <sheetData>
    <row r="2" customFormat="false" ht="19.7" hidden="false" customHeight="false" outlineLevel="0" collapsed="false">
      <c r="B2" s="26" t="s">
        <v>1079</v>
      </c>
    </row>
    <row r="3" customFormat="false" ht="15" hidden="false" customHeight="false" outlineLevel="0" collapsed="false">
      <c r="B3" s="46" t="s">
        <v>1080</v>
      </c>
    </row>
    <row r="5" customFormat="false" ht="33.75" hidden="false" customHeight="true" outlineLevel="0" collapsed="false">
      <c r="B5" s="29" t="s">
        <v>1081</v>
      </c>
      <c r="C5" s="29" t="s">
        <v>1082</v>
      </c>
      <c r="D5" s="29" t="s">
        <v>1083</v>
      </c>
      <c r="E5" s="29" t="s">
        <v>1084</v>
      </c>
      <c r="F5" s="29" t="s">
        <v>1085</v>
      </c>
      <c r="G5" s="29" t="s">
        <v>1086</v>
      </c>
      <c r="H5" s="29" t="s">
        <v>1087</v>
      </c>
    </row>
    <row r="6" customFormat="false" ht="26.1" hidden="false" customHeight="false" outlineLevel="0" collapsed="false">
      <c r="B6" s="30" t="s">
        <v>1088</v>
      </c>
      <c r="C6" s="30" t="s">
        <v>1089</v>
      </c>
      <c r="D6" s="30" t="s">
        <v>1090</v>
      </c>
      <c r="E6" s="30" t="s">
        <v>1091</v>
      </c>
      <c r="F6" s="30" t="s">
        <v>1092</v>
      </c>
      <c r="G6" s="30" t="s">
        <v>1093</v>
      </c>
      <c r="H6" s="69" t="s">
        <v>1094</v>
      </c>
    </row>
    <row r="7" customFormat="false" ht="26.1" hidden="false" customHeight="false" outlineLevel="0" collapsed="false">
      <c r="B7" s="32" t="s">
        <v>1088</v>
      </c>
      <c r="C7" s="32" t="s">
        <v>1095</v>
      </c>
      <c r="D7" s="32" t="s">
        <v>1096</v>
      </c>
      <c r="E7" s="32" t="s">
        <v>1097</v>
      </c>
      <c r="F7" s="40" t="s">
        <v>1098</v>
      </c>
      <c r="G7" s="32" t="s">
        <v>1093</v>
      </c>
      <c r="H7" s="69" t="s">
        <v>1094</v>
      </c>
    </row>
    <row r="8" customFormat="false" ht="28.35" hidden="false" customHeight="false" outlineLevel="0" collapsed="false">
      <c r="B8" s="30" t="s">
        <v>1088</v>
      </c>
      <c r="C8" s="30" t="s">
        <v>1099</v>
      </c>
      <c r="D8" s="30" t="s">
        <v>1100</v>
      </c>
      <c r="E8" s="30" t="s">
        <v>1101</v>
      </c>
      <c r="F8" s="30" t="s">
        <v>1102</v>
      </c>
      <c r="G8" s="30" t="s">
        <v>1093</v>
      </c>
      <c r="H8" s="70" t="s">
        <v>1093</v>
      </c>
    </row>
    <row r="9" customFormat="false" ht="23.85" hidden="false" customHeight="false" outlineLevel="0" collapsed="false">
      <c r="B9" s="32" t="s">
        <v>1088</v>
      </c>
      <c r="C9" s="32" t="s">
        <v>1103</v>
      </c>
      <c r="D9" s="32" t="s">
        <v>1104</v>
      </c>
      <c r="E9" s="32" t="s">
        <v>1105</v>
      </c>
      <c r="F9" s="32" t="s">
        <v>1106</v>
      </c>
      <c r="G9" s="32" t="s">
        <v>1094</v>
      </c>
      <c r="H9" s="71" t="s">
        <v>1107</v>
      </c>
    </row>
    <row r="10" customFormat="false" ht="26.1" hidden="false" customHeight="false" outlineLevel="0" collapsed="false">
      <c r="B10" s="38" t="s">
        <v>1108</v>
      </c>
      <c r="C10" s="30" t="s">
        <v>1109</v>
      </c>
      <c r="D10" s="38" t="s">
        <v>1110</v>
      </c>
      <c r="E10" s="30" t="s">
        <v>1111</v>
      </c>
      <c r="F10" s="30" t="s">
        <v>1112</v>
      </c>
      <c r="G10" s="30" t="s">
        <v>1107</v>
      </c>
      <c r="H10" s="69" t="s">
        <v>1094</v>
      </c>
    </row>
    <row r="11" customFormat="false" ht="26.1" hidden="false" customHeight="false" outlineLevel="0" collapsed="false">
      <c r="B11" s="40" t="s">
        <v>1108</v>
      </c>
      <c r="C11" s="40" t="s">
        <v>1113</v>
      </c>
      <c r="D11" s="32" t="s">
        <v>1114</v>
      </c>
      <c r="E11" s="32" t="s">
        <v>1115</v>
      </c>
      <c r="F11" s="32" t="s">
        <v>1116</v>
      </c>
      <c r="G11" s="32" t="s">
        <v>1093</v>
      </c>
      <c r="H11" s="69" t="s">
        <v>1094</v>
      </c>
    </row>
    <row r="12" customFormat="false" ht="23.85" hidden="false" customHeight="false" outlineLevel="0" collapsed="false">
      <c r="B12" s="38" t="s">
        <v>1108</v>
      </c>
      <c r="C12" s="30" t="s">
        <v>1117</v>
      </c>
      <c r="D12" s="30" t="s">
        <v>1118</v>
      </c>
      <c r="E12" s="30" t="s">
        <v>1119</v>
      </c>
      <c r="F12" s="30" t="s">
        <v>1120</v>
      </c>
      <c r="G12" s="30" t="s">
        <v>1093</v>
      </c>
      <c r="H12" s="70" t="s">
        <v>1093</v>
      </c>
    </row>
    <row r="13" customFormat="false" ht="23.85" hidden="false" customHeight="false" outlineLevel="0" collapsed="false">
      <c r="B13" s="40" t="s">
        <v>1108</v>
      </c>
      <c r="C13" s="32" t="s">
        <v>1121</v>
      </c>
      <c r="D13" s="32" t="s">
        <v>1122</v>
      </c>
      <c r="E13" s="32" t="s">
        <v>1123</v>
      </c>
      <c r="F13" s="32" t="s">
        <v>1124</v>
      </c>
      <c r="G13" s="32" t="s">
        <v>1093</v>
      </c>
      <c r="H13" s="70" t="s">
        <v>1093</v>
      </c>
    </row>
    <row r="14" customFormat="false" ht="23.85" hidden="false" customHeight="false" outlineLevel="0" collapsed="false">
      <c r="B14" s="30" t="s">
        <v>1125</v>
      </c>
      <c r="C14" s="38" t="s">
        <v>1126</v>
      </c>
      <c r="D14" s="30" t="s">
        <v>1127</v>
      </c>
      <c r="E14" s="38" t="s">
        <v>1098</v>
      </c>
      <c r="F14" s="30" t="s">
        <v>1128</v>
      </c>
      <c r="G14" s="30" t="s">
        <v>1094</v>
      </c>
      <c r="H14" s="69" t="s">
        <v>1094</v>
      </c>
    </row>
    <row r="15" customFormat="false" ht="15" hidden="false" customHeight="false" outlineLevel="0" collapsed="false">
      <c r="B15" s="32" t="s">
        <v>1125</v>
      </c>
      <c r="C15" s="32" t="s">
        <v>1129</v>
      </c>
      <c r="D15" s="32" t="s">
        <v>1130</v>
      </c>
      <c r="E15" s="32" t="s">
        <v>1131</v>
      </c>
      <c r="F15" s="32" t="s">
        <v>1132</v>
      </c>
      <c r="G15" s="32" t="s">
        <v>1093</v>
      </c>
      <c r="H15" s="69" t="s">
        <v>1094</v>
      </c>
    </row>
    <row r="16" customFormat="false" ht="15" hidden="false" customHeight="false" outlineLevel="0" collapsed="false">
      <c r="B16" s="30" t="s">
        <v>1125</v>
      </c>
      <c r="C16" s="30" t="s">
        <v>1133</v>
      </c>
      <c r="D16" s="30" t="s">
        <v>1134</v>
      </c>
      <c r="E16" s="38" t="s">
        <v>1098</v>
      </c>
      <c r="F16" s="30" t="s">
        <v>1135</v>
      </c>
      <c r="G16" s="30" t="s">
        <v>1093</v>
      </c>
      <c r="H16" s="71" t="s">
        <v>1107</v>
      </c>
    </row>
    <row r="17" customFormat="false" ht="26.1" hidden="false" customHeight="false" outlineLevel="0" collapsed="false">
      <c r="B17" s="32" t="s">
        <v>1136</v>
      </c>
      <c r="C17" s="32" t="s">
        <v>1137</v>
      </c>
      <c r="D17" s="32" t="s">
        <v>1138</v>
      </c>
      <c r="E17" s="32" t="s">
        <v>1139</v>
      </c>
      <c r="F17" s="32" t="s">
        <v>1140</v>
      </c>
      <c r="G17" s="32" t="s">
        <v>1094</v>
      </c>
      <c r="H17" s="70" t="s">
        <v>1093</v>
      </c>
    </row>
    <row r="18" customFormat="false" ht="26.1" hidden="false" customHeight="false" outlineLevel="0" collapsed="false">
      <c r="B18" s="30" t="s">
        <v>1136</v>
      </c>
      <c r="C18" s="30" t="s">
        <v>1141</v>
      </c>
      <c r="D18" s="30" t="s">
        <v>1142</v>
      </c>
      <c r="E18" s="30" t="s">
        <v>1143</v>
      </c>
      <c r="F18" s="30" t="s">
        <v>1144</v>
      </c>
      <c r="G18" s="30" t="s">
        <v>1093</v>
      </c>
      <c r="H18" s="69" t="s">
        <v>1094</v>
      </c>
    </row>
    <row r="19" customFormat="false" ht="28.35" hidden="false" customHeight="false" outlineLevel="0" collapsed="false">
      <c r="B19" s="32" t="s">
        <v>1136</v>
      </c>
      <c r="C19" s="32" t="s">
        <v>1145</v>
      </c>
      <c r="D19" s="32" t="s">
        <v>1146</v>
      </c>
      <c r="E19" s="32" t="s">
        <v>1147</v>
      </c>
      <c r="F19" s="32" t="s">
        <v>1148</v>
      </c>
      <c r="G19" s="32" t="s">
        <v>1094</v>
      </c>
      <c r="H19" s="70" t="s">
        <v>1093</v>
      </c>
    </row>
    <row r="20" customFormat="false" ht="26.1" hidden="false" customHeight="false" outlineLevel="0" collapsed="false">
      <c r="B20" s="30" t="s">
        <v>1149</v>
      </c>
      <c r="C20" s="30" t="s">
        <v>1150</v>
      </c>
      <c r="D20" s="30" t="s">
        <v>1151</v>
      </c>
      <c r="E20" s="30" t="s">
        <v>1152</v>
      </c>
      <c r="F20" s="30" t="s">
        <v>1153</v>
      </c>
      <c r="G20" s="30" t="s">
        <v>1107</v>
      </c>
      <c r="H20" s="69" t="s">
        <v>1094</v>
      </c>
    </row>
    <row r="21" customFormat="false" ht="15" hidden="false" customHeight="false" outlineLevel="0" collapsed="false">
      <c r="B21" s="32" t="s">
        <v>1149</v>
      </c>
      <c r="C21" s="32" t="s">
        <v>1154</v>
      </c>
      <c r="D21" s="32" t="s">
        <v>1155</v>
      </c>
      <c r="E21" s="32" t="s">
        <v>1156</v>
      </c>
      <c r="F21" s="32" t="s">
        <v>1157</v>
      </c>
      <c r="G21" s="32" t="s">
        <v>1107</v>
      </c>
      <c r="H21" s="70" t="s">
        <v>1093</v>
      </c>
    </row>
  </sheetData>
  <autoFilter ref="B5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6"/>
  </cols>
  <sheetData>
    <row r="2" customFormat="false" ht="17.15" hidden="false" customHeight="false" outlineLevel="0" collapsed="false">
      <c r="B2" s="26" t="s">
        <v>1158</v>
      </c>
    </row>
    <row r="3" customFormat="false" ht="15" hidden="false" customHeight="false" outlineLevel="0" collapsed="false">
      <c r="B3" s="46" t="s">
        <v>1159</v>
      </c>
    </row>
    <row r="5" customFormat="false" ht="15" hidden="false" customHeight="false" outlineLevel="0" collapsed="false">
      <c r="B5" s="28" t="s">
        <v>1160</v>
      </c>
    </row>
    <row r="6" customFormat="false" ht="33.75" hidden="false" customHeight="true" outlineLevel="0" collapsed="false">
      <c r="B6" s="29" t="s">
        <v>1161</v>
      </c>
      <c r="C6" s="29" t="s">
        <v>1162</v>
      </c>
      <c r="D6" s="29" t="s">
        <v>1163</v>
      </c>
      <c r="E6" s="29" t="s">
        <v>1164</v>
      </c>
    </row>
    <row r="7" customFormat="false" ht="26.1" hidden="false" customHeight="false" outlineLevel="0" collapsed="false">
      <c r="B7" s="30" t="s">
        <v>1165</v>
      </c>
      <c r="C7" s="30" t="s">
        <v>1166</v>
      </c>
      <c r="D7" s="30" t="s">
        <v>1167</v>
      </c>
      <c r="E7" s="30" t="s">
        <v>1168</v>
      </c>
    </row>
    <row r="8" customFormat="false" ht="26.1" hidden="false" customHeight="false" outlineLevel="0" collapsed="false">
      <c r="B8" s="32" t="s">
        <v>1169</v>
      </c>
      <c r="C8" s="32" t="s">
        <v>1170</v>
      </c>
      <c r="D8" s="32" t="s">
        <v>1171</v>
      </c>
      <c r="E8" s="32" t="s">
        <v>1172</v>
      </c>
    </row>
    <row r="9" customFormat="false" ht="23.85" hidden="false" customHeight="false" outlineLevel="0" collapsed="false">
      <c r="B9" s="30" t="s">
        <v>1173</v>
      </c>
      <c r="C9" s="30" t="s">
        <v>1174</v>
      </c>
      <c r="D9" s="30" t="s">
        <v>1175</v>
      </c>
      <c r="E9" s="30" t="s">
        <v>1176</v>
      </c>
    </row>
    <row r="10" customFormat="false" ht="23.85" hidden="false" customHeight="false" outlineLevel="0" collapsed="false">
      <c r="B10" s="32" t="s">
        <v>1177</v>
      </c>
      <c r="C10" s="32" t="s">
        <v>1178</v>
      </c>
      <c r="D10" s="32" t="s">
        <v>1179</v>
      </c>
      <c r="E10" s="32" t="s">
        <v>1180</v>
      </c>
    </row>
    <row r="11" customFormat="false" ht="26.1" hidden="false" customHeight="false" outlineLevel="0" collapsed="false">
      <c r="B11" s="30" t="s">
        <v>1181</v>
      </c>
      <c r="C11" s="30" t="s">
        <v>1182</v>
      </c>
      <c r="D11" s="30" t="s">
        <v>1183</v>
      </c>
      <c r="E11" s="30" t="s">
        <v>1184</v>
      </c>
    </row>
    <row r="13" customFormat="false" ht="15" hidden="false" customHeight="false" outlineLevel="0" collapsed="false">
      <c r="B13" s="28" t="s">
        <v>1185</v>
      </c>
    </row>
    <row r="14" customFormat="false" ht="33.75" hidden="false" customHeight="true" outlineLevel="0" collapsed="false">
      <c r="B14" s="29" t="s">
        <v>1186</v>
      </c>
      <c r="C14" s="29" t="s">
        <v>1187</v>
      </c>
    </row>
    <row r="15" customFormat="false" ht="23.85" hidden="false" customHeight="false" outlineLevel="0" collapsed="false">
      <c r="B15" s="30" t="s">
        <v>1188</v>
      </c>
      <c r="C15" s="30" t="s">
        <v>1189</v>
      </c>
    </row>
    <row r="16" customFormat="false" ht="26.1" hidden="false" customHeight="false" outlineLevel="0" collapsed="false">
      <c r="B16" s="32" t="s">
        <v>1190</v>
      </c>
      <c r="C16" s="32" t="s">
        <v>1191</v>
      </c>
    </row>
    <row r="17" customFormat="false" ht="23.85" hidden="false" customHeight="false" outlineLevel="0" collapsed="false">
      <c r="B17" s="30" t="s">
        <v>1192</v>
      </c>
      <c r="C17" s="30" t="s">
        <v>1193</v>
      </c>
    </row>
    <row r="18" customFormat="false" ht="35.05" hidden="false" customHeight="false" outlineLevel="0" collapsed="false">
      <c r="B18" s="32" t="s">
        <v>1194</v>
      </c>
      <c r="C18" s="32" t="s">
        <v>1195</v>
      </c>
    </row>
    <row r="19" customFormat="false" ht="28.35" hidden="false" customHeight="false" outlineLevel="0" collapsed="false">
      <c r="B19" s="30" t="s">
        <v>1196</v>
      </c>
      <c r="C19" s="30" t="s">
        <v>1197</v>
      </c>
    </row>
    <row r="20" customFormat="false" ht="23.85" hidden="false" customHeight="false" outlineLevel="0" collapsed="false">
      <c r="B20" s="32" t="s">
        <v>1198</v>
      </c>
      <c r="C20" s="32" t="s">
        <v>1199</v>
      </c>
    </row>
    <row r="22" customFormat="false" ht="15" hidden="false" customHeight="false" outlineLevel="0" collapsed="false">
      <c r="B22" s="28" t="s">
        <v>1200</v>
      </c>
    </row>
    <row r="23" customFormat="false" ht="33.75" hidden="false" customHeight="true" outlineLevel="0" collapsed="false">
      <c r="B23" s="29" t="s">
        <v>1201</v>
      </c>
      <c r="C23" s="29" t="s">
        <v>1202</v>
      </c>
      <c r="D23" s="29" t="s">
        <v>1203</v>
      </c>
      <c r="E23" s="29" t="s">
        <v>1204</v>
      </c>
      <c r="F23" s="29" t="s">
        <v>1087</v>
      </c>
    </row>
    <row r="24" customFormat="false" ht="26.1" hidden="false" customHeight="false" outlineLevel="0" collapsed="false">
      <c r="B24" s="30" t="s">
        <v>1205</v>
      </c>
      <c r="C24" s="30" t="s">
        <v>1206</v>
      </c>
      <c r="D24" s="30" t="s">
        <v>1207</v>
      </c>
      <c r="E24" s="30" t="s">
        <v>1208</v>
      </c>
      <c r="F24" s="69" t="s">
        <v>1209</v>
      </c>
    </row>
    <row r="25" customFormat="false" ht="26.1" hidden="false" customHeight="false" outlineLevel="0" collapsed="false">
      <c r="B25" s="32" t="s">
        <v>1210</v>
      </c>
      <c r="C25" s="32" t="s">
        <v>1211</v>
      </c>
      <c r="D25" s="32" t="s">
        <v>1212</v>
      </c>
      <c r="E25" s="32" t="s">
        <v>1213</v>
      </c>
      <c r="F25" s="69" t="s">
        <v>1094</v>
      </c>
    </row>
    <row r="26" customFormat="false" ht="23.85" hidden="false" customHeight="false" outlineLevel="0" collapsed="false">
      <c r="B26" s="30" t="s">
        <v>1214</v>
      </c>
      <c r="C26" s="30" t="s">
        <v>1215</v>
      </c>
      <c r="D26" s="30" t="s">
        <v>1216</v>
      </c>
      <c r="E26" s="30" t="s">
        <v>899</v>
      </c>
      <c r="F26" s="70" t="s">
        <v>1093</v>
      </c>
    </row>
    <row r="27" customFormat="false" ht="26.1" hidden="false" customHeight="false" outlineLevel="0" collapsed="false">
      <c r="B27" s="32" t="s">
        <v>1217</v>
      </c>
      <c r="C27" s="40" t="s">
        <v>1218</v>
      </c>
      <c r="D27" s="32" t="s">
        <v>1219</v>
      </c>
      <c r="E27" s="32" t="s">
        <v>1220</v>
      </c>
      <c r="F27" s="70" t="s">
        <v>1093</v>
      </c>
    </row>
    <row r="28" customFormat="false" ht="23.85" hidden="false" customHeight="false" outlineLevel="0" collapsed="false">
      <c r="B28" s="30" t="s">
        <v>1221</v>
      </c>
      <c r="C28" s="30" t="s">
        <v>1222</v>
      </c>
      <c r="D28" s="30" t="s">
        <v>1223</v>
      </c>
      <c r="E28" s="30" t="s">
        <v>1224</v>
      </c>
      <c r="F28" s="70" t="s">
        <v>1093</v>
      </c>
    </row>
    <row r="29" customFormat="false" ht="26.1" hidden="false" customHeight="false" outlineLevel="0" collapsed="false">
      <c r="B29" s="32" t="s">
        <v>1225</v>
      </c>
      <c r="C29" s="32" t="s">
        <v>1226</v>
      </c>
      <c r="D29" s="32" t="s">
        <v>1227</v>
      </c>
      <c r="E29" s="32" t="s">
        <v>1228</v>
      </c>
      <c r="F29" s="69" t="s">
        <v>1094</v>
      </c>
    </row>
    <row r="31" customFormat="false" ht="15" hidden="false" customHeight="false" outlineLevel="0" collapsed="false">
      <c r="B31" s="46" t="s">
        <v>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65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45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7.5" hidden="false" customHeight="true" outlineLevel="0" collapsed="false">
      <c r="A2" s="10"/>
      <c r="B2" s="17" t="s">
        <v>1230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27.75" hidden="false" customHeight="true" outlineLevel="0" collapsed="false">
      <c r="A3" s="10"/>
      <c r="B3" s="19" t="s">
        <v>1231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27.75" hidden="false" customHeight="true" outlineLevel="0" collapsed="false">
      <c r="A5" s="10"/>
      <c r="B5" s="20" t="s">
        <v>1232</v>
      </c>
      <c r="C5" s="20" t="s">
        <v>1081</v>
      </c>
      <c r="D5" s="20" t="s">
        <v>1233</v>
      </c>
      <c r="E5" s="20" t="s">
        <v>1234</v>
      </c>
      <c r="F5" s="20" t="s">
        <v>1235</v>
      </c>
      <c r="G5" s="20" t="s">
        <v>1236</v>
      </c>
      <c r="H5" s="10"/>
      <c r="I5" s="10"/>
      <c r="J5" s="10"/>
      <c r="K5" s="10"/>
      <c r="L5" s="10"/>
    </row>
    <row r="6" customFormat="false" ht="27.75" hidden="false" customHeight="true" outlineLevel="0" collapsed="false">
      <c r="A6" s="10"/>
      <c r="B6" s="21" t="s">
        <v>1237</v>
      </c>
      <c r="C6" s="21" t="s">
        <v>1238</v>
      </c>
      <c r="D6" s="21" t="s">
        <v>1239</v>
      </c>
      <c r="E6" s="21" t="s">
        <v>1240</v>
      </c>
      <c r="F6" s="21" t="s">
        <v>1241</v>
      </c>
      <c r="G6" s="21" t="s">
        <v>1242</v>
      </c>
      <c r="H6" s="10"/>
      <c r="I6" s="10"/>
      <c r="J6" s="10"/>
      <c r="K6" s="10"/>
      <c r="L6" s="10"/>
    </row>
    <row r="7" customFormat="false" ht="27.75" hidden="false" customHeight="true" outlineLevel="0" collapsed="false">
      <c r="A7" s="10"/>
      <c r="B7" s="21" t="s">
        <v>1243</v>
      </c>
      <c r="C7" s="21" t="s">
        <v>1244</v>
      </c>
      <c r="D7" s="21" t="s">
        <v>1245</v>
      </c>
      <c r="E7" s="21" t="s">
        <v>1244</v>
      </c>
      <c r="F7" s="21" t="s">
        <v>1246</v>
      </c>
      <c r="G7" s="21" t="s">
        <v>1247</v>
      </c>
      <c r="H7" s="10"/>
      <c r="I7" s="10"/>
      <c r="J7" s="10"/>
      <c r="K7" s="10"/>
      <c r="L7" s="10"/>
    </row>
    <row r="8" customFormat="false" ht="27.75" hidden="false" customHeight="true" outlineLevel="0" collapsed="false">
      <c r="A8" s="10"/>
      <c r="B8" s="21" t="s">
        <v>1248</v>
      </c>
      <c r="C8" s="21" t="s">
        <v>1249</v>
      </c>
      <c r="D8" s="21" t="s">
        <v>1250</v>
      </c>
      <c r="E8" s="21" t="s">
        <v>1251</v>
      </c>
      <c r="F8" s="21" t="s">
        <v>1252</v>
      </c>
      <c r="G8" s="21" t="s">
        <v>1253</v>
      </c>
      <c r="H8" s="10"/>
      <c r="I8" s="10"/>
      <c r="J8" s="10"/>
      <c r="K8" s="10"/>
      <c r="L8" s="10"/>
    </row>
    <row r="9" customFormat="false" ht="27.75" hidden="false" customHeight="true" outlineLevel="0" collapsed="false">
      <c r="A9" s="10"/>
      <c r="B9" s="21" t="s">
        <v>1254</v>
      </c>
      <c r="C9" s="21" t="s">
        <v>1249</v>
      </c>
      <c r="D9" s="21" t="s">
        <v>1250</v>
      </c>
      <c r="E9" s="21" t="s">
        <v>1251</v>
      </c>
      <c r="F9" s="21" t="s">
        <v>1252</v>
      </c>
      <c r="G9" s="21" t="s">
        <v>1253</v>
      </c>
      <c r="H9" s="10"/>
      <c r="I9" s="10"/>
      <c r="J9" s="10"/>
      <c r="K9" s="10"/>
      <c r="L9" s="10"/>
    </row>
    <row r="10" customFormat="false" ht="27.75" hidden="false" customHeight="true" outlineLevel="0" collapsed="false">
      <c r="A10" s="10"/>
      <c r="B10" s="21" t="s">
        <v>1255</v>
      </c>
      <c r="C10" s="21" t="s">
        <v>1256</v>
      </c>
      <c r="D10" s="21" t="s">
        <v>1257</v>
      </c>
      <c r="E10" s="21" t="s">
        <v>1258</v>
      </c>
      <c r="F10" s="21" t="s">
        <v>1259</v>
      </c>
      <c r="G10" s="21" t="s">
        <v>1260</v>
      </c>
      <c r="H10" s="10"/>
      <c r="I10" s="10"/>
      <c r="J10" s="10"/>
      <c r="K10" s="10"/>
      <c r="L10" s="10"/>
    </row>
    <row r="11" customFormat="false" ht="27.75" hidden="false" customHeight="true" outlineLevel="0" collapsed="false">
      <c r="A11" s="10"/>
      <c r="B11" s="21" t="s">
        <v>1261</v>
      </c>
      <c r="C11" s="21" t="s">
        <v>1256</v>
      </c>
      <c r="D11" s="21" t="s">
        <v>1257</v>
      </c>
      <c r="E11" s="21" t="s">
        <v>1258</v>
      </c>
      <c r="F11" s="21" t="s">
        <v>1259</v>
      </c>
      <c r="G11" s="21" t="s">
        <v>1260</v>
      </c>
      <c r="H11" s="10"/>
      <c r="I11" s="10"/>
      <c r="J11" s="10"/>
      <c r="K11" s="10"/>
      <c r="L11" s="10"/>
    </row>
    <row r="12" customFormat="false" ht="27.75" hidden="false" customHeight="true" outlineLevel="0" collapsed="false">
      <c r="A12" s="10"/>
      <c r="B12" s="21" t="s">
        <v>1262</v>
      </c>
      <c r="C12" s="21" t="s">
        <v>1256</v>
      </c>
      <c r="D12" s="21" t="s">
        <v>1257</v>
      </c>
      <c r="E12" s="21" t="s">
        <v>1258</v>
      </c>
      <c r="F12" s="21" t="s">
        <v>1259</v>
      </c>
      <c r="G12" s="21" t="s">
        <v>1260</v>
      </c>
      <c r="H12" s="10"/>
      <c r="I12" s="10"/>
      <c r="J12" s="10"/>
      <c r="K12" s="10"/>
      <c r="L12" s="10"/>
    </row>
    <row r="13" customFormat="false" ht="27.75" hidden="false" customHeight="true" outlineLevel="0" collapsed="false">
      <c r="A13" s="10"/>
      <c r="B13" s="21" t="s">
        <v>1263</v>
      </c>
      <c r="C13" s="21" t="s">
        <v>1256</v>
      </c>
      <c r="D13" s="21" t="s">
        <v>1257</v>
      </c>
      <c r="E13" s="21" t="s">
        <v>1258</v>
      </c>
      <c r="F13" s="21" t="s">
        <v>1259</v>
      </c>
      <c r="G13" s="21" t="s">
        <v>1260</v>
      </c>
      <c r="H13" s="10"/>
      <c r="I13" s="10"/>
      <c r="J13" s="10"/>
      <c r="K13" s="10"/>
      <c r="L13" s="10"/>
    </row>
    <row r="14" customFormat="false" ht="27.75" hidden="false" customHeight="true" outlineLevel="0" collapsed="false">
      <c r="A14" s="10"/>
      <c r="B14" s="21" t="s">
        <v>1264</v>
      </c>
      <c r="C14" s="21" t="s">
        <v>1265</v>
      </c>
      <c r="D14" s="21" t="s">
        <v>1266</v>
      </c>
      <c r="E14" s="21" t="s">
        <v>1267</v>
      </c>
      <c r="F14" s="21" t="s">
        <v>525</v>
      </c>
      <c r="G14" s="21" t="s">
        <v>1268</v>
      </c>
      <c r="H14" s="10"/>
      <c r="I14" s="10"/>
      <c r="J14" s="10"/>
      <c r="K14" s="10"/>
      <c r="L14" s="10"/>
    </row>
    <row r="15" customFormat="false" ht="27.75" hidden="false" customHeight="true" outlineLevel="0" collapsed="false">
      <c r="A15" s="10"/>
      <c r="B15" s="21" t="s">
        <v>1269</v>
      </c>
      <c r="C15" s="21" t="s">
        <v>1265</v>
      </c>
      <c r="D15" s="21" t="s">
        <v>1266</v>
      </c>
      <c r="E15" s="21" t="s">
        <v>1267</v>
      </c>
      <c r="F15" s="21" t="s">
        <v>525</v>
      </c>
      <c r="G15" s="21" t="s">
        <v>1268</v>
      </c>
      <c r="H15" s="10"/>
      <c r="I15" s="10"/>
      <c r="J15" s="10"/>
      <c r="K15" s="10"/>
      <c r="L15" s="10"/>
    </row>
    <row r="16" customFormat="false" ht="27.75" hidden="false" customHeight="true" outlineLevel="0" collapsed="false">
      <c r="A16" s="10"/>
      <c r="B16" s="21" t="s">
        <v>1270</v>
      </c>
      <c r="C16" s="21" t="s">
        <v>1265</v>
      </c>
      <c r="D16" s="21" t="s">
        <v>1266</v>
      </c>
      <c r="E16" s="21" t="s">
        <v>1267</v>
      </c>
      <c r="F16" s="21" t="s">
        <v>525</v>
      </c>
      <c r="G16" s="21" t="s">
        <v>1268</v>
      </c>
      <c r="H16" s="10"/>
      <c r="I16" s="10"/>
      <c r="J16" s="10"/>
      <c r="K16" s="10"/>
      <c r="L16" s="10"/>
    </row>
    <row r="17" customFormat="false" ht="27.75" hidden="false" customHeight="true" outlineLevel="0" collapsed="false">
      <c r="A17" s="10"/>
      <c r="B17" s="21" t="s">
        <v>1271</v>
      </c>
      <c r="C17" s="21" t="s">
        <v>1265</v>
      </c>
      <c r="D17" s="21" t="s">
        <v>1266</v>
      </c>
      <c r="E17" s="21" t="s">
        <v>1267</v>
      </c>
      <c r="F17" s="21" t="s">
        <v>525</v>
      </c>
      <c r="G17" s="21" t="s">
        <v>1268</v>
      </c>
      <c r="H17" s="10"/>
      <c r="I17" s="10"/>
      <c r="J17" s="10"/>
      <c r="K17" s="10"/>
      <c r="L17" s="10"/>
    </row>
    <row r="18" customFormat="false" ht="27.75" hidden="false" customHeight="true" outlineLevel="0" collapsed="false">
      <c r="A18" s="10"/>
      <c r="B18" s="21" t="s">
        <v>1272</v>
      </c>
      <c r="C18" s="21" t="s">
        <v>1273</v>
      </c>
      <c r="D18" s="21" t="s">
        <v>1274</v>
      </c>
      <c r="E18" s="21" t="s">
        <v>1275</v>
      </c>
      <c r="F18" s="21" t="s">
        <v>451</v>
      </c>
      <c r="G18" s="21" t="s">
        <v>1276</v>
      </c>
      <c r="H18" s="10"/>
      <c r="I18" s="10"/>
      <c r="J18" s="10"/>
      <c r="K18" s="10"/>
      <c r="L18" s="10"/>
    </row>
    <row r="19" customFormat="false" ht="27.75" hidden="false" customHeight="true" outlineLevel="0" collapsed="false">
      <c r="A19" s="10"/>
      <c r="B19" s="21" t="s">
        <v>1277</v>
      </c>
      <c r="C19" s="21" t="s">
        <v>1273</v>
      </c>
      <c r="D19" s="21" t="s">
        <v>1274</v>
      </c>
      <c r="E19" s="21" t="s">
        <v>1275</v>
      </c>
      <c r="F19" s="21" t="s">
        <v>451</v>
      </c>
      <c r="G19" s="21" t="s">
        <v>1276</v>
      </c>
      <c r="H19" s="10"/>
      <c r="I19" s="10"/>
      <c r="J19" s="10"/>
      <c r="K19" s="10"/>
      <c r="L19" s="10"/>
    </row>
    <row r="20" customFormat="false" ht="27.75" hidden="false" customHeight="true" outlineLevel="0" collapsed="false">
      <c r="A20" s="10"/>
      <c r="B20" s="21" t="s">
        <v>1278</v>
      </c>
      <c r="C20" s="21" t="s">
        <v>1273</v>
      </c>
      <c r="D20" s="21" t="s">
        <v>1274</v>
      </c>
      <c r="E20" s="21" t="s">
        <v>1275</v>
      </c>
      <c r="F20" s="21" t="s">
        <v>451</v>
      </c>
      <c r="G20" s="21" t="s">
        <v>1276</v>
      </c>
      <c r="H20" s="10"/>
      <c r="I20" s="10"/>
      <c r="J20" s="10"/>
      <c r="K20" s="10"/>
      <c r="L20" s="10"/>
    </row>
    <row r="21" customFormat="false" ht="27.75" hidden="false" customHeight="true" outlineLevel="0" collapsed="false">
      <c r="A21" s="10"/>
      <c r="B21" s="21" t="s">
        <v>1279</v>
      </c>
      <c r="C21" s="21" t="s">
        <v>1273</v>
      </c>
      <c r="D21" s="21" t="s">
        <v>1274</v>
      </c>
      <c r="E21" s="21" t="s">
        <v>1275</v>
      </c>
      <c r="F21" s="21" t="s">
        <v>451</v>
      </c>
      <c r="G21" s="21" t="s">
        <v>1276</v>
      </c>
      <c r="H21" s="10"/>
      <c r="I21" s="10"/>
      <c r="J21" s="10"/>
      <c r="K21" s="10"/>
      <c r="L21" s="10"/>
    </row>
    <row r="22" customFormat="false" ht="27.75" hidden="false" customHeight="true" outlineLevel="0" collapsed="false">
      <c r="A22" s="10"/>
      <c r="B22" s="21" t="s">
        <v>1280</v>
      </c>
      <c r="C22" s="21" t="s">
        <v>1281</v>
      </c>
      <c r="D22" s="21" t="s">
        <v>1282</v>
      </c>
      <c r="E22" s="21" t="s">
        <v>1283</v>
      </c>
      <c r="F22" s="21" t="s">
        <v>189</v>
      </c>
      <c r="G22" s="21" t="s">
        <v>1284</v>
      </c>
      <c r="H22" s="10"/>
      <c r="I22" s="10"/>
      <c r="J22" s="10"/>
      <c r="K22" s="10"/>
      <c r="L22" s="10"/>
    </row>
    <row r="23" customFormat="false" ht="27.75" hidden="false" customHeight="true" outlineLevel="0" collapsed="false">
      <c r="A23" s="10"/>
      <c r="B23" s="21" t="s">
        <v>1285</v>
      </c>
      <c r="C23" s="21" t="s">
        <v>1281</v>
      </c>
      <c r="D23" s="21" t="s">
        <v>1282</v>
      </c>
      <c r="E23" s="21" t="s">
        <v>1283</v>
      </c>
      <c r="F23" s="21" t="s">
        <v>189</v>
      </c>
      <c r="G23" s="21" t="s">
        <v>1284</v>
      </c>
      <c r="H23" s="10"/>
      <c r="I23" s="10"/>
      <c r="J23" s="10"/>
      <c r="K23" s="10"/>
      <c r="L23" s="10"/>
    </row>
    <row r="24" customFormat="false" ht="27.75" hidden="false" customHeight="true" outlineLevel="0" collapsed="false">
      <c r="A24" s="10"/>
      <c r="B24" s="21" t="s">
        <v>1286</v>
      </c>
      <c r="C24" s="21" t="s">
        <v>1281</v>
      </c>
      <c r="D24" s="21" t="s">
        <v>1282</v>
      </c>
      <c r="E24" s="21" t="s">
        <v>1283</v>
      </c>
      <c r="F24" s="21" t="s">
        <v>189</v>
      </c>
      <c r="G24" s="21" t="s">
        <v>1284</v>
      </c>
      <c r="H24" s="10"/>
      <c r="I24" s="10"/>
      <c r="J24" s="10"/>
      <c r="K24" s="10"/>
      <c r="L24" s="10"/>
    </row>
    <row r="25" customFormat="false" ht="27.75" hidden="false" customHeight="true" outlineLevel="0" collapsed="false">
      <c r="A25" s="10"/>
      <c r="B25" s="21" t="s">
        <v>1287</v>
      </c>
      <c r="C25" s="21" t="s">
        <v>1281</v>
      </c>
      <c r="D25" s="21" t="s">
        <v>1282</v>
      </c>
      <c r="E25" s="21" t="s">
        <v>1283</v>
      </c>
      <c r="F25" s="21" t="s">
        <v>189</v>
      </c>
      <c r="G25" s="21" t="s">
        <v>1284</v>
      </c>
      <c r="H25" s="10"/>
      <c r="I25" s="10"/>
      <c r="J25" s="10"/>
      <c r="K25" s="10"/>
      <c r="L25" s="10"/>
    </row>
    <row r="26" customFormat="false" ht="27.75" hidden="false" customHeight="true" outlineLevel="0" collapsed="false">
      <c r="A26" s="10"/>
      <c r="B26" s="21" t="s">
        <v>1288</v>
      </c>
      <c r="C26" s="21" t="s">
        <v>1289</v>
      </c>
      <c r="D26" s="21" t="s">
        <v>1290</v>
      </c>
      <c r="E26" s="21" t="s">
        <v>1291</v>
      </c>
      <c r="F26" s="21" t="s">
        <v>231</v>
      </c>
      <c r="G26" s="21" t="s">
        <v>1292</v>
      </c>
      <c r="H26" s="10"/>
      <c r="I26" s="10"/>
      <c r="J26" s="10"/>
      <c r="K26" s="10"/>
      <c r="L26" s="10"/>
    </row>
    <row r="27" customFormat="false" ht="27.75" hidden="false" customHeight="true" outlineLevel="0" collapsed="false">
      <c r="A27" s="10"/>
      <c r="B27" s="21" t="s">
        <v>1293</v>
      </c>
      <c r="C27" s="21" t="s">
        <v>1289</v>
      </c>
      <c r="D27" s="21" t="s">
        <v>1290</v>
      </c>
      <c r="E27" s="21" t="s">
        <v>1291</v>
      </c>
      <c r="F27" s="21" t="s">
        <v>231</v>
      </c>
      <c r="G27" s="21" t="s">
        <v>1292</v>
      </c>
      <c r="H27" s="10"/>
      <c r="I27" s="10"/>
      <c r="J27" s="10"/>
      <c r="K27" s="10"/>
      <c r="L27" s="10"/>
    </row>
    <row r="28" customFormat="false" ht="27.75" hidden="false" customHeight="true" outlineLevel="0" collapsed="false">
      <c r="A28" s="10"/>
      <c r="B28" s="21" t="s">
        <v>1294</v>
      </c>
      <c r="C28" s="21" t="s">
        <v>1289</v>
      </c>
      <c r="D28" s="21" t="s">
        <v>1290</v>
      </c>
      <c r="E28" s="21" t="s">
        <v>1291</v>
      </c>
      <c r="F28" s="21" t="s">
        <v>231</v>
      </c>
      <c r="G28" s="21" t="s">
        <v>1292</v>
      </c>
      <c r="H28" s="10"/>
      <c r="I28" s="10"/>
      <c r="J28" s="10"/>
      <c r="K28" s="10"/>
      <c r="L28" s="10"/>
    </row>
    <row r="29" customFormat="false" ht="27.75" hidden="false" customHeight="true" outlineLevel="0" collapsed="false">
      <c r="A29" s="10"/>
      <c r="B29" s="21" t="s">
        <v>1295</v>
      </c>
      <c r="C29" s="21" t="s">
        <v>1289</v>
      </c>
      <c r="D29" s="21" t="s">
        <v>1290</v>
      </c>
      <c r="E29" s="21" t="s">
        <v>1291</v>
      </c>
      <c r="F29" s="21" t="s">
        <v>231</v>
      </c>
      <c r="G29" s="21" t="s">
        <v>1292</v>
      </c>
      <c r="H29" s="10"/>
      <c r="I29" s="10"/>
      <c r="J29" s="10"/>
      <c r="K29" s="10"/>
      <c r="L29" s="10"/>
    </row>
  </sheetData>
  <autoFilter ref="B5:G29"/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36"/>
    <col collapsed="false" customWidth="true" hidden="false" outlineLevel="0" max="4" min="4" style="1" width="90"/>
    <col collapsed="false" customWidth="true" hidden="false" outlineLevel="0" max="5" min="5" style="1" width="16"/>
    <col collapsed="false" customWidth="true" hidden="false" outlineLevel="0" max="6" min="6" style="1" width="35"/>
  </cols>
  <sheetData>
    <row r="1" customFormat="false" ht="27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</row>
    <row r="2" customFormat="false" ht="37.5" hidden="false" customHeight="true" outlineLevel="0" collapsed="false">
      <c r="A2" s="10"/>
      <c r="B2" s="17" t="s">
        <v>1296</v>
      </c>
      <c r="C2" s="17"/>
      <c r="D2" s="17"/>
      <c r="E2" s="17"/>
      <c r="F2" s="17"/>
      <c r="G2" s="17"/>
      <c r="H2" s="17"/>
    </row>
    <row r="3" customFormat="false" ht="27.75" hidden="false" customHeight="true" outlineLevel="0" collapsed="false">
      <c r="A3" s="10"/>
      <c r="B3" s="19" t="s">
        <v>1297</v>
      </c>
      <c r="C3" s="19"/>
      <c r="D3" s="19"/>
      <c r="E3" s="19"/>
      <c r="F3" s="19"/>
      <c r="G3" s="19"/>
      <c r="H3" s="19"/>
    </row>
    <row r="4" customFormat="false" ht="27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10"/>
      <c r="B5" s="20" t="s">
        <v>140</v>
      </c>
      <c r="C5" s="20" t="s">
        <v>1298</v>
      </c>
      <c r="D5" s="20" t="s">
        <v>1299</v>
      </c>
      <c r="E5" s="20" t="s">
        <v>1300</v>
      </c>
      <c r="F5" s="20" t="s">
        <v>1301</v>
      </c>
      <c r="G5" s="10"/>
      <c r="H5" s="10"/>
    </row>
    <row r="6" customFormat="false" ht="27.75" hidden="false" customHeight="true" outlineLevel="0" collapsed="false">
      <c r="A6" s="10"/>
      <c r="B6" s="21" t="s">
        <v>1302</v>
      </c>
      <c r="C6" s="21" t="s">
        <v>1303</v>
      </c>
      <c r="D6" s="72" t="s">
        <v>1304</v>
      </c>
      <c r="E6" s="21" t="s">
        <v>1305</v>
      </c>
      <c r="F6" s="21" t="s">
        <v>1306</v>
      </c>
      <c r="G6" s="10"/>
      <c r="H6" s="10"/>
    </row>
    <row r="7" customFormat="false" ht="27.75" hidden="false" customHeight="true" outlineLevel="0" collapsed="false">
      <c r="A7" s="10"/>
      <c r="B7" s="21" t="s">
        <v>1302</v>
      </c>
      <c r="C7" s="21" t="s">
        <v>1307</v>
      </c>
      <c r="D7" s="72" t="s">
        <v>1308</v>
      </c>
      <c r="E7" s="21" t="s">
        <v>1305</v>
      </c>
      <c r="F7" s="21" t="s">
        <v>1306</v>
      </c>
      <c r="G7" s="10"/>
      <c r="H7" s="10"/>
    </row>
    <row r="8" customFormat="false" ht="27.75" hidden="false" customHeight="true" outlineLevel="0" collapsed="false">
      <c r="A8" s="10"/>
      <c r="B8" s="21" t="s">
        <v>1302</v>
      </c>
      <c r="C8" s="21" t="s">
        <v>1309</v>
      </c>
      <c r="D8" s="72" t="s">
        <v>1310</v>
      </c>
      <c r="E8" s="21" t="s">
        <v>1305</v>
      </c>
      <c r="F8" s="21" t="s">
        <v>1306</v>
      </c>
      <c r="G8" s="10"/>
      <c r="H8" s="10"/>
    </row>
    <row r="9" customFormat="false" ht="27.75" hidden="false" customHeight="true" outlineLevel="0" collapsed="false">
      <c r="A9" s="10"/>
      <c r="B9" s="21" t="s">
        <v>1302</v>
      </c>
      <c r="C9" s="21" t="s">
        <v>823</v>
      </c>
      <c r="D9" s="72" t="s">
        <v>1311</v>
      </c>
      <c r="E9" s="21" t="s">
        <v>1305</v>
      </c>
      <c r="F9" s="21" t="s">
        <v>1306</v>
      </c>
      <c r="G9" s="10"/>
      <c r="H9" s="10"/>
    </row>
    <row r="10" customFormat="false" ht="27.75" hidden="false" customHeight="true" outlineLevel="0" collapsed="false">
      <c r="A10" s="10"/>
      <c r="B10" s="21" t="s">
        <v>1302</v>
      </c>
      <c r="C10" s="21" t="s">
        <v>1312</v>
      </c>
      <c r="D10" s="72" t="s">
        <v>1313</v>
      </c>
      <c r="E10" s="21" t="s">
        <v>1305</v>
      </c>
      <c r="F10" s="21" t="s">
        <v>1306</v>
      </c>
      <c r="G10" s="10"/>
      <c r="H10" s="10"/>
    </row>
    <row r="11" customFormat="false" ht="27.75" hidden="false" customHeight="true" outlineLevel="0" collapsed="false">
      <c r="A11" s="10"/>
      <c r="B11" s="21" t="s">
        <v>1302</v>
      </c>
      <c r="C11" s="21" t="s">
        <v>1314</v>
      </c>
      <c r="D11" s="72" t="s">
        <v>1315</v>
      </c>
      <c r="E11" s="21" t="s">
        <v>1305</v>
      </c>
      <c r="F11" s="21" t="s">
        <v>1306</v>
      </c>
      <c r="G11" s="10"/>
      <c r="H11" s="10"/>
    </row>
    <row r="12" customFormat="false" ht="27.75" hidden="false" customHeight="true" outlineLevel="0" collapsed="false">
      <c r="A12" s="10"/>
      <c r="B12" s="21" t="s">
        <v>1302</v>
      </c>
      <c r="C12" s="21" t="s">
        <v>1316</v>
      </c>
      <c r="D12" s="72" t="s">
        <v>1317</v>
      </c>
      <c r="E12" s="21" t="s">
        <v>1305</v>
      </c>
      <c r="F12" s="21" t="s">
        <v>1306</v>
      </c>
      <c r="G12" s="10"/>
      <c r="H12" s="10"/>
    </row>
    <row r="13" customFormat="false" ht="27.75" hidden="false" customHeight="true" outlineLevel="0" collapsed="false">
      <c r="A13" s="10"/>
      <c r="B13" s="21" t="s">
        <v>1302</v>
      </c>
      <c r="C13" s="21" t="s">
        <v>1318</v>
      </c>
      <c r="D13" s="72" t="s">
        <v>1319</v>
      </c>
      <c r="E13" s="21" t="s">
        <v>1305</v>
      </c>
      <c r="F13" s="21" t="s">
        <v>1306</v>
      </c>
      <c r="G13" s="10"/>
      <c r="H13" s="10"/>
    </row>
    <row r="14" customFormat="false" ht="27.75" hidden="false" customHeight="true" outlineLevel="0" collapsed="false">
      <c r="A14" s="10"/>
      <c r="B14" s="21" t="s">
        <v>1302</v>
      </c>
      <c r="C14" s="21" t="s">
        <v>1320</v>
      </c>
      <c r="D14" s="72" t="s">
        <v>1321</v>
      </c>
      <c r="E14" s="21" t="s">
        <v>1305</v>
      </c>
      <c r="F14" s="21" t="s">
        <v>1306</v>
      </c>
      <c r="G14" s="10"/>
      <c r="H14" s="10"/>
    </row>
    <row r="15" customFormat="false" ht="27.75" hidden="false" customHeight="true" outlineLevel="0" collapsed="false">
      <c r="A15" s="10"/>
      <c r="B15" s="21" t="s">
        <v>1302</v>
      </c>
      <c r="C15" s="21" t="s">
        <v>1322</v>
      </c>
      <c r="D15" s="72" t="s">
        <v>1323</v>
      </c>
      <c r="E15" s="21" t="s">
        <v>1305</v>
      </c>
      <c r="F15" s="21" t="s">
        <v>1306</v>
      </c>
      <c r="G15" s="10"/>
      <c r="H15" s="10"/>
    </row>
    <row r="16" customFormat="false" ht="27.75" hidden="false" customHeight="true" outlineLevel="0" collapsed="false">
      <c r="A16" s="10"/>
      <c r="B16" s="21" t="s">
        <v>1302</v>
      </c>
      <c r="C16" s="21" t="s">
        <v>1324</v>
      </c>
      <c r="D16" s="72" t="s">
        <v>1325</v>
      </c>
      <c r="E16" s="21" t="s">
        <v>1305</v>
      </c>
      <c r="F16" s="21" t="s">
        <v>1306</v>
      </c>
      <c r="G16" s="10"/>
      <c r="H16" s="10"/>
    </row>
    <row r="17" customFormat="false" ht="27.75" hidden="false" customHeight="true" outlineLevel="0" collapsed="false">
      <c r="A17" s="10"/>
      <c r="B17" s="21" t="s">
        <v>1302</v>
      </c>
      <c r="C17" s="21" t="s">
        <v>1326</v>
      </c>
      <c r="D17" s="72" t="s">
        <v>1327</v>
      </c>
      <c r="E17" s="21" t="s">
        <v>1305</v>
      </c>
      <c r="F17" s="21" t="s">
        <v>1306</v>
      </c>
      <c r="G17" s="10"/>
      <c r="H17" s="10"/>
    </row>
    <row r="18" customFormat="false" ht="27.75" hidden="false" customHeight="true" outlineLevel="0" collapsed="false">
      <c r="A18" s="10"/>
      <c r="B18" s="21" t="s">
        <v>1302</v>
      </c>
      <c r="C18" s="21" t="s">
        <v>1328</v>
      </c>
      <c r="D18" s="72" t="s">
        <v>1329</v>
      </c>
      <c r="E18" s="21" t="s">
        <v>1305</v>
      </c>
      <c r="F18" s="21" t="s">
        <v>1306</v>
      </c>
      <c r="G18" s="10"/>
      <c r="H18" s="10"/>
    </row>
    <row r="19" customFormat="false" ht="27.75" hidden="false" customHeight="true" outlineLevel="0" collapsed="false">
      <c r="A19" s="10"/>
      <c r="B19" s="21" t="s">
        <v>1302</v>
      </c>
      <c r="C19" s="21" t="s">
        <v>1330</v>
      </c>
      <c r="D19" s="72" t="s">
        <v>1331</v>
      </c>
      <c r="E19" s="21" t="s">
        <v>1305</v>
      </c>
      <c r="F19" s="21" t="s">
        <v>1306</v>
      </c>
      <c r="G19" s="10"/>
      <c r="H19" s="10"/>
    </row>
    <row r="20" customFormat="false" ht="27.75" hidden="false" customHeight="true" outlineLevel="0" collapsed="false">
      <c r="A20" s="10"/>
      <c r="B20" s="21" t="s">
        <v>1302</v>
      </c>
      <c r="C20" s="21" t="s">
        <v>1332</v>
      </c>
      <c r="D20" s="72" t="s">
        <v>1333</v>
      </c>
      <c r="E20" s="21" t="s">
        <v>1305</v>
      </c>
      <c r="F20" s="21" t="s">
        <v>1306</v>
      </c>
      <c r="G20" s="10"/>
      <c r="H20" s="10"/>
    </row>
    <row r="21" customFormat="false" ht="27.75" hidden="false" customHeight="true" outlineLevel="0" collapsed="false">
      <c r="A21" s="10"/>
      <c r="B21" s="21" t="s">
        <v>1302</v>
      </c>
      <c r="C21" s="21" t="s">
        <v>1334</v>
      </c>
      <c r="D21" s="72" t="s">
        <v>1335</v>
      </c>
      <c r="E21" s="21" t="s">
        <v>1305</v>
      </c>
      <c r="F21" s="21" t="s">
        <v>1306</v>
      </c>
      <c r="G21" s="10"/>
      <c r="H21" s="10"/>
    </row>
    <row r="22" customFormat="false" ht="27.75" hidden="false" customHeight="true" outlineLevel="0" collapsed="false">
      <c r="A22" s="10"/>
      <c r="B22" s="21" t="s">
        <v>1302</v>
      </c>
      <c r="C22" s="21" t="s">
        <v>1336</v>
      </c>
      <c r="D22" s="72" t="s">
        <v>1337</v>
      </c>
      <c r="E22" s="21" t="s">
        <v>1305</v>
      </c>
      <c r="F22" s="21" t="s">
        <v>1306</v>
      </c>
      <c r="G22" s="10"/>
      <c r="H22" s="10"/>
    </row>
    <row r="23" customFormat="false" ht="27.75" hidden="false" customHeight="true" outlineLevel="0" collapsed="false">
      <c r="A23" s="10"/>
      <c r="B23" s="21" t="s">
        <v>1302</v>
      </c>
      <c r="C23" s="21" t="s">
        <v>116</v>
      </c>
      <c r="D23" s="72" t="s">
        <v>1338</v>
      </c>
      <c r="E23" s="21" t="s">
        <v>1305</v>
      </c>
      <c r="F23" s="21" t="s">
        <v>1306</v>
      </c>
      <c r="G23" s="10"/>
      <c r="H23" s="10"/>
    </row>
    <row r="24" customFormat="false" ht="27.75" hidden="false" customHeight="true" outlineLevel="0" collapsed="false">
      <c r="A24" s="10"/>
      <c r="B24" s="21" t="s">
        <v>1302</v>
      </c>
      <c r="C24" s="21" t="s">
        <v>941</v>
      </c>
      <c r="D24" s="72" t="s">
        <v>1339</v>
      </c>
      <c r="E24" s="21" t="s">
        <v>1305</v>
      </c>
      <c r="F24" s="21" t="s">
        <v>1306</v>
      </c>
      <c r="G24" s="10"/>
      <c r="H24" s="10"/>
    </row>
    <row r="25" customFormat="false" ht="27.75" hidden="false" customHeight="true" outlineLevel="0" collapsed="false">
      <c r="A25" s="10"/>
      <c r="B25" s="21" t="s">
        <v>1302</v>
      </c>
      <c r="C25" s="21" t="s">
        <v>1340</v>
      </c>
      <c r="D25" s="72" t="s">
        <v>1341</v>
      </c>
      <c r="E25" s="21" t="s">
        <v>1305</v>
      </c>
      <c r="F25" s="21" t="s">
        <v>1306</v>
      </c>
      <c r="G25" s="10"/>
      <c r="H25" s="10"/>
    </row>
    <row r="26" customFormat="false" ht="27.75" hidden="false" customHeight="true" outlineLevel="0" collapsed="false">
      <c r="A26" s="10"/>
      <c r="B26" s="21" t="s">
        <v>1342</v>
      </c>
      <c r="C26" s="21" t="s">
        <v>805</v>
      </c>
      <c r="D26" s="72" t="s">
        <v>1343</v>
      </c>
      <c r="E26" s="21" t="s">
        <v>1305</v>
      </c>
      <c r="F26" s="21" t="s">
        <v>1306</v>
      </c>
      <c r="G26" s="10"/>
      <c r="H26" s="10"/>
    </row>
    <row r="27" customFormat="false" ht="27.75" hidden="false" customHeight="true" outlineLevel="0" collapsed="false">
      <c r="A27" s="10"/>
      <c r="B27" s="21" t="s">
        <v>1342</v>
      </c>
      <c r="C27" s="21" t="s">
        <v>811</v>
      </c>
      <c r="D27" s="72" t="s">
        <v>1344</v>
      </c>
      <c r="E27" s="21" t="s">
        <v>1305</v>
      </c>
      <c r="F27" s="21" t="s">
        <v>1306</v>
      </c>
      <c r="G27" s="10"/>
      <c r="H27" s="10"/>
    </row>
    <row r="28" customFormat="false" ht="27.75" hidden="false" customHeight="true" outlineLevel="0" collapsed="false">
      <c r="A28" s="10"/>
      <c r="B28" s="21" t="s">
        <v>1342</v>
      </c>
      <c r="C28" s="21" t="s">
        <v>1345</v>
      </c>
      <c r="D28" s="72" t="s">
        <v>1346</v>
      </c>
      <c r="E28" s="21" t="s">
        <v>1305</v>
      </c>
      <c r="F28" s="21" t="s">
        <v>1306</v>
      </c>
      <c r="G28" s="10"/>
      <c r="H28" s="10"/>
    </row>
    <row r="29" customFormat="false" ht="27.75" hidden="false" customHeight="true" outlineLevel="0" collapsed="false">
      <c r="A29" s="10"/>
      <c r="B29" s="21" t="s">
        <v>1342</v>
      </c>
      <c r="C29" s="21" t="s">
        <v>1347</v>
      </c>
      <c r="D29" s="72" t="s">
        <v>1348</v>
      </c>
      <c r="E29" s="21" t="s">
        <v>1305</v>
      </c>
      <c r="F29" s="21" t="s">
        <v>1306</v>
      </c>
      <c r="G29" s="10"/>
      <c r="H29" s="10"/>
    </row>
    <row r="30" customFormat="false" ht="27.75" hidden="false" customHeight="true" outlineLevel="0" collapsed="false">
      <c r="A30" s="10"/>
      <c r="B30" s="21" t="s">
        <v>1342</v>
      </c>
      <c r="C30" s="21" t="s">
        <v>1349</v>
      </c>
      <c r="D30" s="72" t="s">
        <v>1350</v>
      </c>
      <c r="E30" s="21" t="s">
        <v>1305</v>
      </c>
      <c r="F30" s="21" t="s">
        <v>1306</v>
      </c>
      <c r="G30" s="10"/>
      <c r="H30" s="10"/>
    </row>
    <row r="31" customFormat="false" ht="27.75" hidden="false" customHeight="true" outlineLevel="0" collapsed="false">
      <c r="A31" s="10"/>
      <c r="B31" s="21" t="s">
        <v>1342</v>
      </c>
      <c r="C31" s="21" t="s">
        <v>1351</v>
      </c>
      <c r="D31" s="72" t="s">
        <v>1352</v>
      </c>
      <c r="E31" s="21" t="s">
        <v>1305</v>
      </c>
      <c r="F31" s="21" t="s">
        <v>1306</v>
      </c>
      <c r="G31" s="10"/>
      <c r="H31" s="10"/>
    </row>
    <row r="32" customFormat="false" ht="27.75" hidden="false" customHeight="true" outlineLevel="0" collapsed="false">
      <c r="A32" s="10"/>
      <c r="B32" s="21" t="s">
        <v>1342</v>
      </c>
      <c r="C32" s="21" t="s">
        <v>1353</v>
      </c>
      <c r="D32" s="72" t="s">
        <v>1354</v>
      </c>
      <c r="E32" s="21" t="s">
        <v>1305</v>
      </c>
      <c r="F32" s="21" t="s">
        <v>1306</v>
      </c>
      <c r="G32" s="10"/>
      <c r="H32" s="10"/>
    </row>
    <row r="33" customFormat="false" ht="27.75" hidden="false" customHeight="true" outlineLevel="0" collapsed="false">
      <c r="A33" s="10"/>
      <c r="B33" s="21" t="s">
        <v>1342</v>
      </c>
      <c r="C33" s="21" t="s">
        <v>1355</v>
      </c>
      <c r="D33" s="72" t="s">
        <v>1356</v>
      </c>
      <c r="E33" s="21" t="s">
        <v>1305</v>
      </c>
      <c r="F33" s="21" t="s">
        <v>1306</v>
      </c>
      <c r="G33" s="10"/>
      <c r="H33" s="10"/>
    </row>
    <row r="34" customFormat="false" ht="27.75" hidden="false" customHeight="true" outlineLevel="0" collapsed="false">
      <c r="A34" s="10"/>
      <c r="B34" s="21" t="s">
        <v>1342</v>
      </c>
      <c r="C34" s="21" t="s">
        <v>820</v>
      </c>
      <c r="D34" s="72" t="s">
        <v>1357</v>
      </c>
      <c r="E34" s="21" t="s">
        <v>1305</v>
      </c>
      <c r="F34" s="21" t="s">
        <v>1306</v>
      </c>
      <c r="G34" s="10"/>
      <c r="H34" s="10"/>
    </row>
    <row r="35" customFormat="false" ht="27.75" hidden="false" customHeight="true" outlineLevel="0" collapsed="false">
      <c r="A35" s="10"/>
      <c r="B35" s="21" t="s">
        <v>1342</v>
      </c>
      <c r="C35" s="21" t="s">
        <v>1358</v>
      </c>
      <c r="D35" s="72" t="s">
        <v>1359</v>
      </c>
      <c r="E35" s="21" t="s">
        <v>1305</v>
      </c>
      <c r="F35" s="21" t="s">
        <v>1306</v>
      </c>
      <c r="G35" s="10"/>
      <c r="H35" s="10"/>
    </row>
    <row r="36" customFormat="false" ht="27.75" hidden="false" customHeight="true" outlineLevel="0" collapsed="false">
      <c r="A36" s="10"/>
      <c r="B36" s="21" t="s">
        <v>1342</v>
      </c>
      <c r="C36" s="21" t="s">
        <v>814</v>
      </c>
      <c r="D36" s="72" t="s">
        <v>1360</v>
      </c>
      <c r="E36" s="21" t="s">
        <v>1305</v>
      </c>
      <c r="F36" s="21" t="s">
        <v>1306</v>
      </c>
      <c r="G36" s="10"/>
      <c r="H36" s="10"/>
    </row>
    <row r="37" customFormat="false" ht="27.75" hidden="false" customHeight="true" outlineLevel="0" collapsed="false">
      <c r="A37" s="10"/>
      <c r="B37" s="21" t="s">
        <v>1342</v>
      </c>
      <c r="C37" s="21" t="s">
        <v>817</v>
      </c>
      <c r="D37" s="72" t="s">
        <v>1361</v>
      </c>
      <c r="E37" s="21" t="s">
        <v>1305</v>
      </c>
      <c r="F37" s="21" t="s">
        <v>1306</v>
      </c>
      <c r="G37" s="10"/>
      <c r="H37" s="10"/>
    </row>
    <row r="38" customFormat="false" ht="27.75" hidden="false" customHeight="true" outlineLevel="0" collapsed="false">
      <c r="A38" s="10"/>
      <c r="B38" s="21" t="s">
        <v>1302</v>
      </c>
      <c r="C38" s="21" t="s">
        <v>1362</v>
      </c>
      <c r="D38" s="72" t="s">
        <v>1363</v>
      </c>
      <c r="E38" s="21" t="s">
        <v>1305</v>
      </c>
      <c r="F38" s="21" t="s">
        <v>1306</v>
      </c>
      <c r="G38" s="10"/>
      <c r="H38" s="10"/>
    </row>
    <row r="39" customFormat="false" ht="27.75" hidden="false" customHeight="true" outlineLevel="0" collapsed="false">
      <c r="A39" s="10"/>
      <c r="B39" s="21" t="s">
        <v>1342</v>
      </c>
      <c r="C39" s="21" t="s">
        <v>808</v>
      </c>
      <c r="D39" s="72" t="s">
        <v>1364</v>
      </c>
      <c r="E39" s="21" t="s">
        <v>1305</v>
      </c>
      <c r="F39" s="21" t="s">
        <v>1306</v>
      </c>
      <c r="G39" s="10"/>
      <c r="H39" s="10"/>
    </row>
    <row r="40" customFormat="false" ht="15" hidden="false" customHeight="false" outlineLevel="0" collapsed="false">
      <c r="B40" s="30" t="s">
        <v>1365</v>
      </c>
      <c r="C40" s="38" t="s">
        <v>1366</v>
      </c>
      <c r="D40" s="38" t="s">
        <v>165</v>
      </c>
      <c r="E40" s="30" t="s">
        <v>1367</v>
      </c>
      <c r="F40" s="30" t="s">
        <v>1368</v>
      </c>
    </row>
    <row r="41" customFormat="false" ht="15" hidden="false" customHeight="false" outlineLevel="0" collapsed="false">
      <c r="B41" s="32" t="s">
        <v>1365</v>
      </c>
      <c r="C41" s="40" t="s">
        <v>1369</v>
      </c>
      <c r="D41" s="40" t="s">
        <v>1370</v>
      </c>
      <c r="E41" s="32" t="s">
        <v>1367</v>
      </c>
      <c r="F41" s="32" t="s">
        <v>1368</v>
      </c>
    </row>
    <row r="42" customFormat="false" ht="15" hidden="false" customHeight="false" outlineLevel="0" collapsed="false">
      <c r="B42" s="30" t="s">
        <v>1365</v>
      </c>
      <c r="C42" s="38" t="s">
        <v>1371</v>
      </c>
      <c r="D42" s="38" t="s">
        <v>1372</v>
      </c>
      <c r="E42" s="30" t="s">
        <v>1367</v>
      </c>
      <c r="F42" s="30" t="s">
        <v>1373</v>
      </c>
    </row>
    <row r="43" customFormat="false" ht="15" hidden="false" customHeight="false" outlineLevel="0" collapsed="false">
      <c r="B43" s="32" t="s">
        <v>1365</v>
      </c>
      <c r="C43" s="40" t="s">
        <v>1374</v>
      </c>
      <c r="D43" s="40" t="s">
        <v>390</v>
      </c>
      <c r="E43" s="32" t="s">
        <v>1367</v>
      </c>
      <c r="F43" s="32" t="s">
        <v>1375</v>
      </c>
    </row>
    <row r="44" customFormat="false" ht="15" hidden="false" customHeight="false" outlineLevel="0" collapsed="false">
      <c r="B44" s="30" t="s">
        <v>1365</v>
      </c>
      <c r="C44" s="38" t="s">
        <v>1376</v>
      </c>
      <c r="D44" s="38" t="s">
        <v>562</v>
      </c>
      <c r="E44" s="30" t="s">
        <v>1367</v>
      </c>
      <c r="F44" s="30" t="s">
        <v>1373</v>
      </c>
    </row>
    <row r="45" customFormat="false" ht="15" hidden="false" customHeight="false" outlineLevel="0" collapsed="false">
      <c r="B45" s="32" t="s">
        <v>1365</v>
      </c>
      <c r="C45" s="40" t="s">
        <v>1377</v>
      </c>
      <c r="D45" s="40" t="s">
        <v>462</v>
      </c>
      <c r="E45" s="32" t="s">
        <v>1367</v>
      </c>
      <c r="F45" s="32" t="s">
        <v>1378</v>
      </c>
    </row>
    <row r="46" customFormat="false" ht="15" hidden="false" customHeight="false" outlineLevel="0" collapsed="false">
      <c r="B46" s="30" t="s">
        <v>1365</v>
      </c>
      <c r="C46" s="38" t="s">
        <v>1379</v>
      </c>
      <c r="D46" s="38" t="s">
        <v>494</v>
      </c>
      <c r="E46" s="30" t="s">
        <v>1367</v>
      </c>
      <c r="F46" s="30" t="s">
        <v>1380</v>
      </c>
    </row>
    <row r="47" customFormat="false" ht="15" hidden="false" customHeight="false" outlineLevel="0" collapsed="false">
      <c r="B47" s="32" t="s">
        <v>1365</v>
      </c>
      <c r="C47" s="40" t="s">
        <v>1381</v>
      </c>
      <c r="D47" s="40" t="s">
        <v>1382</v>
      </c>
      <c r="E47" s="32" t="s">
        <v>1367</v>
      </c>
      <c r="F47" s="32" t="s">
        <v>1373</v>
      </c>
    </row>
    <row r="48" customFormat="false" ht="15" hidden="false" customHeight="false" outlineLevel="0" collapsed="false">
      <c r="B48" s="30" t="s">
        <v>1365</v>
      </c>
      <c r="C48" s="38" t="s">
        <v>1383</v>
      </c>
      <c r="D48" s="38" t="s">
        <v>481</v>
      </c>
      <c r="E48" s="30" t="s">
        <v>1367</v>
      </c>
      <c r="F48" s="30" t="s">
        <v>1373</v>
      </c>
    </row>
  </sheetData>
  <autoFilter ref="B5:F39"/>
  <mergeCells count="2">
    <mergeCell ref="B2:H2"/>
    <mergeCell ref="B3:H3"/>
  </mergeCells>
  <hyperlinks>
    <hyperlink ref="D6" r:id="rId1" display="https://www.easy2gift.co.il/umbraco/surface/Easy2GiveSurface/Introduction"/>
    <hyperlink ref="D7" r:id="rId2" display="https://easy2give.co.il/knowledge-center-posts/%D7%90%D7%95%D7%93%D7%95%D7%AA-%D7%94%D7%A9%D7%99%D7%A8%D7%95%D7%AA-%D7%94%D7%A2%D7%A0%D7%A7%D7%AA-%D7%9E%D7%AA%D7%A0%D7%94-%D7%91%D7%90%D7%A9%D7%A8%D7%90%D7%99-2/"/>
    <hyperlink ref="D8" r:id="rId3" display="https://easy2give.co.il/specialsale/"/>
    <hyperlink ref="D9" r:id="rId4" display="https://www.mako.co.il/news-money/2023_q2/Article-a0701191fda9881026.htm"/>
    <hyperlink ref="D10" r:id="rId5" display="https://digitalpick.co.il"/>
    <hyperlink ref="D11" r:id="rId6" display="https://www.digitalpick.co.il/shop/"/>
    <hyperlink ref="D12" r:id="rId7" display="https://www.mit4mit.co.il/biz/94758"/>
    <hyperlink ref="D13" r:id="rId8" display="https://myinvite.co.il/%D7%9E%D7%AA%D7%A0%D7%95%D7%AA-%D7%91%D7%90%D7%A9%D7%A8%D7%90%D7%99/"/>
    <hyperlink ref="D14" r:id="rId9" display="https://myinvite.co.il/%D7%90%D7%99%D7%A9%D7%95%D7%A8%D7%99-%D7%94%D7%92%D7%A2%D7%94/%D7%90%D7%99%D7%A9%D7%95%D7%A8%D7%99-%D7%94%D7%92%D7%A2%D7%94-%D7%9E%D7%97%D7%99%D7%A8/"/>
    <hyperlink ref="D15" r:id="rId10" display="https://www.mit4mit.co.il/biz/102182"/>
    <hyperlink ref="D16" r:id="rId11" display="https://www.diginet.co.il/%D7%97%D7%91%D7%99%D7%9C%D7%95%D7%AA_%D7%95%D7%9E%D7%97%D7%99%D7%A8%D7%99%D7%9D"/>
    <hyperlink ref="D17" r:id="rId12" display="https://www.diginet.co.il/%D7%9E%D7%AA%D7%A0%D7%95%D7%AA_%D7%91%D7%90%D7%A9%D7%A8%D7%90%D7%99"/>
    <hyperlink ref="D18" r:id="rId13" display="https://www.mit4mit.co.il/biz/94145"/>
    <hyperlink ref="D19" r:id="rId14" display="https://www.wedix.co.il/page.aspx?cat=8&amp;cat-sub=109"/>
    <hyperlink ref="D20" r:id="rId15" display="https://www.wedix.co.il/page.aspx?cat=5&amp;cat-sub=103"/>
    <hyperlink ref="D21" r:id="rId16" display="https://attending.co.il"/>
    <hyperlink ref="D22" r:id="rId17" display="https://attending.co.il/prices"/>
    <hyperlink ref="D23" r:id="rId18" display="https://www.magiimolo.co.il/%D7%9E%D7%97%D7%99%D7%A8%D7%95%D7%9F-%D7%90%D7%99%D7%A9%D7%95%D7%A8%D7%99-%D7%94%D7%92%D7%A2%D7%94-%D7%9C%D7%97%D7%AA%D7%95%D7%A0%D7%94-%D7%90%D7%99%D7%A8%D7%95%D7%A2-2/"/>
    <hyperlink ref="D24" r:id="rId19" display="https://mazlatgift.co.il/%D7%AA%D7%A7%D7%A0%D7%95%D7%9F-%D7%94%D7%90%D7%AA%D7%A8/"/>
    <hyperlink ref="D25" r:id="rId20" display="https://mazalit.com"/>
    <hyperlink ref="D26" r:id="rId21" display="https://www.cbs.gov.il/he/mediarelease/DocLib/2024/253/11_24_253b.pdf"/>
    <hyperlink ref="D27" r:id="rId22" display="https://ulamot.co.il"/>
    <hyperlink ref="D28" r:id="rId23" display="https://www.mit4mit.co.il/category/325"/>
    <hyperlink ref="D29" r:id="rId24" display="https://www.mit4mit.co.il/category/325/%D7%90%D7%96%D7%95%D7%A8:%D7%9E%D7%A8%D7%9B%D7%96"/>
    <hyperlink ref="D30" r:id="rId25" display="https://www.mit4mit.co.il/category/331/%D7%90%D7%96%D7%95%D7%A8:%D7%A6%D7%A4%D7%95%D7%9F"/>
    <hyperlink ref="D31" r:id="rId26" display="https://www.mit4mit.co.il/category/325/%D7%90%D7%96%D7%95%D7%A8:%D7%93%D7%A8%D7%95%D7%9D"/>
    <hyperlink ref="D32" r:id="rId27" display="https://www.mit4mit.co.il/category/325/%D7%90%D7%96%D7%95%D7%A8:%D7%A9%D7%A8%D7%95%D7%9F"/>
    <hyperlink ref="D33" r:id="rId28" display="https://allplaces.co.il/place_type/%D7%90%D7%95%D7%9C%D7%9D/"/>
    <hyperlink ref="D34" r:id="rId29" display="https://www.b144.co.il/PriceList/%D7%90%D7%95%D7%9C%D7%9E%D7%95%D7%AA-%D7%95%D7%92%D7%A0%D7%99-%D7%90%D7%99%D7%A8%D7%95%D7%A2%D7%99%D7%9D/"/>
    <hyperlink ref="D35" r:id="rId30" display="https://www.d.co.il/priceList-990/"/>
    <hyperlink ref="D36" r:id="rId31" display="https://www.ice.co.il/consumerism/news/article/1064767"/>
    <hyperlink ref="D37" r:id="rId32" display="https://www.mit4mit.co.il/blog/article/6804b722eeee0d5676ade57c"/>
    <hyperlink ref="D38" r:id="rId33" display="https://www.mako.co.il/news-specials/data_n12/Article-d63f6b035bc1791026.htm"/>
    <hyperlink ref="D39" r:id="rId34" display="https://www.ynet.co.il/judaism/article/bk6lpkzzg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2026-06-18T05:57:50Z</dcterms:created>
  <dc:creator>openpyxl</dc:creator>
  <dc:description/>
  <dc:language>en-US</dc:language>
  <cp:lastModifiedBy/>
  <dcterms:modified xsi:type="dcterms:W3CDTF">2026-06-25T10:29:13Z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